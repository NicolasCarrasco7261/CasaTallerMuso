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sa Taller Muso" sheetId="1" r:id="rId5"/>
  </sheets>
  <definedNames>
    <definedName name="Inicio_del_proyecto">'Casa Taller Muso'!$E$3</definedName>
    <definedName localSheetId="0" name="task_end">'Casa Taller Muso'!$F$1</definedName>
    <definedName localSheetId="0" name="task_start">'Casa Taller Muso'!$E$1</definedName>
    <definedName localSheetId="0" name="task_progress">'Casa Taller Muso'!$D$1</definedName>
    <definedName name="Semana_para_mostrar">'Casa Taller Muso'!$E$4</definedName>
  </definedNames>
  <calcPr/>
</workbook>
</file>

<file path=xl/sharedStrings.xml><?xml version="1.0" encoding="utf-8"?>
<sst xmlns="http://schemas.openxmlformats.org/spreadsheetml/2006/main" count="56" uniqueCount="45">
  <si>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</si>
  <si>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Portal Casa Taller Muso</t>
  </si>
  <si>
    <t>Escriba el nombre de la compañía en la celda B2.</t>
  </si>
  <si>
    <t>La casa taller Muso</t>
  </si>
  <si>
    <t>Escriba el nombre del responsable del proyecto en la celda B3. Escriba la fecha de comienzo del proyecto en la celda E3. Inicio del proyecto: la etiqueta se encuentra en la celda C3.</t>
  </si>
  <si>
    <t>Camilo Poblete, Vicente Riquelme y Nicolás Carrasco</t>
  </si>
  <si>
    <t>Inicio del proyecto:</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</si>
  <si>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</si>
  <si>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Semana para mostrar:</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</si>
  <si>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</si>
  <si>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</si>
  <si>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TAREA</t>
  </si>
  <si>
    <t>ASIGNADO
A</t>
  </si>
  <si>
    <t>PROGRESO</t>
  </si>
  <si>
    <t>INICIO</t>
  </si>
  <si>
    <t>FIN</t>
  </si>
  <si>
    <t>DÍAS</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</si>
  <si>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</si>
  <si>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</si>
  <si>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Fase de Analisis</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</si>
  <si>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</si>
  <si>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Recolección de Requisitos</t>
  </si>
  <si>
    <t>Nicolás Carrasco</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</si>
  <si>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</si>
  <si>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Recolección de Historias de Usuario</t>
  </si>
  <si>
    <t>Vicente Riquelme</t>
  </si>
  <si>
    <t>Validación con cliente</t>
  </si>
  <si>
    <t>Camilo Poblete</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</si>
  <si>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</si>
  <si>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Fase de Diseño</t>
  </si>
  <si>
    <t>Mockups</t>
  </si>
  <si>
    <t>Diagramas UML</t>
  </si>
  <si>
    <t>Revisión de diagramas</t>
  </si>
  <si>
    <t>Bloque de título fase de ejemplo</t>
  </si>
  <si>
    <t>Fase de Desarrollo</t>
  </si>
  <si>
    <t>Creación de Base de Datos</t>
  </si>
  <si>
    <t>Desarrollo de Front End</t>
  </si>
  <si>
    <t>Desarrollo de Back End</t>
  </si>
  <si>
    <t>Desarrollo de Testing</t>
  </si>
  <si>
    <t>Fase de Pruebas</t>
  </si>
  <si>
    <t>Pruebas de Seguridad</t>
  </si>
  <si>
    <t>Pruebas de Base de Datos</t>
  </si>
  <si>
    <t>Prueba de Recursos</t>
  </si>
  <si>
    <t>Esta fila indica el final de la programación del proyecto. NO escriba nada en esta fila. 
Inserte nuevas filas encima de ésta para continuar creando la programación del proyecto.</t>
  </si>
  <si>
    <t>Inserte nuevas filas ENCIMA de ésta</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</si>
</sst>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d\,\ yyyy\-mm\-dd"/>
    <numFmt numFmtId="165" formatCode="d\ &quot;de&quot;\ mmmm\ &quot;de&quot;\ yyyy"/>
    <numFmt numFmtId="166" formatCode="d"/>
    <numFmt numFmtId="167" formatCode="d\-m\-yy"/>
  </numFmts>
  <fonts count="18">
    <font>
      <sz val="11.0"/>
      <color theme="1"/>
      <name val="Calibri"/>
      <scheme val="minor"/>
    </font>
    <font>
      <sz val="11.0"/>
      <color theme="0"/>
      <name val="Calibri"/>
    </font>
    <font>
      <b/>
      <sz val="22.0"/>
      <color rgb="FF595959"/>
      <name val="Calibri"/>
    </font>
    <font>
      <b/>
      <sz val="20.0"/>
      <color rgb="FF366092"/>
      <name val="Calibri"/>
    </font>
    <font>
      <sz val="10.0"/>
      <color theme="1"/>
      <name val="Calibri"/>
    </font>
    <font>
      <b/>
      <sz val="11.0"/>
      <color theme="1"/>
      <name val="Calibri"/>
    </font>
    <font>
      <sz val="14.0"/>
      <color theme="1"/>
      <name val="Calibri"/>
    </font>
    <font>
      <sz val="11.0"/>
      <color theme="1"/>
      <name val="Calibri"/>
    </font>
    <font>
      <sz val="10.0"/>
      <color theme="1"/>
      <name val="Arial"/>
    </font>
    <font/>
    <font>
      <sz val="9.0"/>
      <color theme="1"/>
      <name val="Calibri"/>
    </font>
    <font>
      <b/>
      <sz val="9.0"/>
      <color theme="0"/>
      <name val="Calibri"/>
    </font>
    <font>
      <sz val="8.0"/>
      <color theme="0"/>
      <name val="Calibri"/>
    </font>
    <font>
      <color theme="1"/>
      <name val="Calibri"/>
      <scheme val="minor"/>
    </font>
    <font>
      <i/>
      <sz val="9.0"/>
      <color theme="1"/>
      <name val="Calibri"/>
    </font>
    <font>
      <sz val="10.0"/>
      <color rgb="FF7F7F7F"/>
      <name val="Calibri"/>
    </font>
    <font>
      <b/>
      <sz val="11.0"/>
      <color rgb="FF7F7F7F"/>
      <name val="Calibri"/>
    </font>
    <font>
      <sz val="10.0"/>
      <color rgb="FF7F7F7F"/>
      <name val="Arial"/>
    </font>
  </fonts>
  <fills count="15">
    <fill>
      <patternFill patternType="none"/>
    </fill>
    <fill>
      <patternFill patternType="lightGray"/>
    </fill>
    <fill>
      <patternFill patternType="solid">
        <fgColor rgb="FFD8D8D8"/>
        <bgColor rgb="FFD8D8D8"/>
      </patternFill>
    </fill>
    <fill>
      <patternFill patternType="solid">
        <fgColor rgb="FF595959"/>
        <bgColor rgb="FF595959"/>
      </patternFill>
    </fill>
    <fill>
      <patternFill patternType="solid">
        <fgColor rgb="FFB8CCE4"/>
        <bgColor rgb="FFB8CCE4"/>
      </patternFill>
    </fill>
    <fill>
      <patternFill patternType="solid">
        <fgColor rgb="FFDBE5F1"/>
        <bgColor rgb="FFDBE5F1"/>
      </patternFill>
    </fill>
    <fill>
      <patternFill patternType="solid">
        <fgColor rgb="FF00FF00"/>
        <bgColor rgb="FF00FF00"/>
      </patternFill>
    </fill>
    <fill>
      <patternFill patternType="solid">
        <fgColor rgb="FFE5B8B7"/>
        <bgColor rgb="FFE5B8B7"/>
      </patternFill>
    </fill>
    <fill>
      <patternFill patternType="solid">
        <fgColor rgb="FFF2DBDB"/>
        <bgColor rgb="FFF2DBDB"/>
      </patternFill>
    </fill>
    <fill>
      <patternFill patternType="solid">
        <fgColor rgb="FFFF9900"/>
        <bgColor rgb="FFFF9900"/>
      </patternFill>
    </fill>
    <fill>
      <patternFill patternType="solid">
        <fgColor rgb="FFD6E3BC"/>
        <bgColor rgb="FFD6E3BC"/>
      </patternFill>
    </fill>
    <fill>
      <patternFill patternType="solid">
        <fgColor rgb="FFEAF1DD"/>
        <bgColor rgb="FFEAF1DD"/>
      </patternFill>
    </fill>
    <fill>
      <patternFill patternType="solid">
        <fgColor rgb="FFCCC0D9"/>
        <bgColor rgb="FFCCC0D9"/>
      </patternFill>
    </fill>
    <fill>
      <patternFill patternType="solid">
        <fgColor rgb="FFE5DFEC"/>
        <bgColor rgb="FFE5DFEC"/>
      </patternFill>
    </fill>
    <fill>
      <patternFill patternType="solid">
        <fgColor rgb="FFF2F2F2"/>
        <bgColor rgb="FFF2F2F2"/>
      </patternFill>
    </fill>
  </fills>
  <borders count="26">
    <border/>
    <border>
      <right style="thin">
        <color rgb="FFA5A5A5"/>
      </right>
    </border>
    <border>
      <left style="thin">
        <color rgb="FFA5A5A5"/>
      </left>
      <top style="thin">
        <color rgb="FFA5A5A5"/>
      </top>
      <bottom style="thin">
        <color rgb="FFA5A5A5"/>
      </bottom>
    </border>
    <border>
      <right style="thin">
        <color rgb="FFA5A5A5"/>
      </right>
      <top style="thin">
        <color rgb="FFA5A5A5"/>
      </top>
      <bottom style="thin">
        <color rgb="FFA5A5A5"/>
      </bottom>
    </border>
    <border>
      <left style="thin">
        <color rgb="FFA5A5A5"/>
      </left>
      <right style="thin">
        <color rgb="FFA5A5A5"/>
      </right>
      <top style="thin">
        <color rgb="FFA5A5A5"/>
      </top>
      <bottom style="thin">
        <color rgb="FFA5A5A5"/>
      </bottom>
    </border>
    <border>
      <left style="thin">
        <color rgb="FFA5A5A5"/>
      </left>
      <top style="thin">
        <color rgb="FFA5A5A5"/>
      </top>
      <bottom/>
    </border>
    <border>
      <top style="thin">
        <color rgb="FFA5A5A5"/>
      </top>
      <bottom/>
    </border>
    <border>
      <right style="thin">
        <color rgb="FFA5A5A5"/>
      </right>
      <top style="thin">
        <color rgb="FFA5A5A5"/>
      </top>
      <bottom/>
    </border>
    <border>
      <bottom style="thin">
        <color rgb="FFA5A5A5"/>
      </bottom>
    </border>
    <border>
      <left style="thin">
        <color rgb="FFA5A5A5"/>
      </left>
      <right/>
      <top/>
      <bottom/>
    </border>
    <border>
      <left/>
      <right/>
      <top/>
      <bottom/>
    </border>
    <border>
      <left/>
      <right style="thin">
        <color rgb="FFA5A5A5"/>
      </right>
      <top/>
      <bottom/>
    </border>
    <border>
      <left/>
      <right/>
      <top style="thin">
        <color rgb="FFA5A5A5"/>
      </top>
      <bottom/>
    </border>
    <border>
      <left style="thin">
        <color rgb="FFA5A5A5"/>
      </left>
      <right style="thin">
        <color rgb="FFA5A5A5"/>
      </right>
      <top/>
      <bottom style="medium">
        <color rgb="FFD8D8D8"/>
      </bottom>
    </border>
    <border>
      <left style="thin">
        <color rgb="FFD8D8D8"/>
      </left>
      <right style="thin">
        <color rgb="FFD8D8D8"/>
      </right>
      <top style="medium">
        <color rgb="FFD8D8D8"/>
      </top>
      <bottom style="medium">
        <color rgb="FFD8D8D8"/>
      </bottom>
    </border>
    <border>
      <left/>
      <right/>
      <top style="medium">
        <color rgb="FFD8D8D8"/>
      </top>
      <bottom style="medium">
        <color rgb="FFD8D8D8"/>
      </bottom>
    </border>
    <border>
      <top style="medium">
        <color rgb="FFD8D8D8"/>
      </top>
      <bottom style="medium">
        <color rgb="FFD8D8D8"/>
      </bottom>
    </border>
    <border>
      <left style="thin">
        <color rgb="FFD8D8D8"/>
      </left>
      <right style="thin">
        <color rgb="FFD8D8D8"/>
      </right>
      <top style="medium">
        <color rgb="FFD8D8D8"/>
      </top>
    </border>
    <border>
      <left style="thin">
        <color rgb="FFD8D8D8"/>
      </left>
      <top style="medium">
        <color rgb="FFD8D8D8"/>
      </top>
      <bottom style="medium">
        <color rgb="FFD8D8D8"/>
      </bottom>
    </border>
    <border>
      <right style="thin">
        <color rgb="FFD8D8D8"/>
      </right>
      <top style="medium">
        <color rgb="FFD8D8D8"/>
      </top>
    </border>
    <border>
      <left style="thin">
        <color rgb="FFD8D8D8"/>
      </left>
      <right style="thin">
        <color rgb="FFD8D8D8"/>
      </right>
      <bottom style="medium">
        <color rgb="FFD8D8D8"/>
      </bottom>
    </border>
    <border>
      <left style="thin">
        <color rgb="FFD8D8D8"/>
      </left>
      <bottom style="medium">
        <color rgb="FFD8D8D8"/>
      </bottom>
    </border>
    <border>
      <right style="thin">
        <color rgb="FFD8D8D8"/>
      </right>
      <bottom style="medium">
        <color rgb="FFD8D8D8"/>
      </bottom>
    </border>
    <border>
      <right style="thin">
        <color rgb="FFD8D8D8"/>
      </right>
      <top style="medium">
        <color rgb="FFD8D8D8"/>
      </top>
      <bottom style="medium">
        <color rgb="FFD8D8D8"/>
      </bottom>
    </border>
    <border>
      <left style="thin">
        <color rgb="FFD8D8D8"/>
      </left>
      <right style="thin">
        <color rgb="FFD8D8D8"/>
      </right>
    </border>
    <border>
      <left style="thin">
        <color rgb="FFD8D8D8"/>
      </left>
      <top style="medium">
        <color rgb="FFD8D8D8"/>
      </top>
    </border>
  </borders>
  <cellStyleXfs count="1">
    <xf borderId="0" fillId="0" fontId="0" numFmtId="0" applyAlignment="1" applyFont="1"/>
  </cellStyleXfs>
  <cellXfs count="102">
    <xf borderId="0" fillId="0" fontId="0" numFmtId="0" xfId="0" applyAlignment="1" applyFont="1">
      <alignment readingOrder="0" shrinkToFit="0" vertical="bottom" wrapText="0"/>
    </xf>
    <xf borderId="0" fillId="0" fontId="1" numFmtId="0" xfId="0" applyAlignment="1" applyFont="1">
      <alignment shrinkToFit="0" wrapText="1"/>
    </xf>
    <xf borderId="0" fillId="0" fontId="2" numFmtId="0" xfId="0" applyAlignment="1" applyFont="1">
      <alignment horizontal="left" readingOrder="0"/>
    </xf>
    <xf borderId="0" fillId="0" fontId="3" numFmtId="0" xfId="0" applyAlignment="1" applyFont="1">
      <alignment horizontal="left"/>
    </xf>
    <xf borderId="0" fillId="0" fontId="4" numFmtId="0" xfId="0" applyFont="1"/>
    <xf borderId="0" fillId="0" fontId="4" numFmtId="0" xfId="0" applyAlignment="1" applyFont="1">
      <alignment horizontal="center"/>
    </xf>
    <xf borderId="0" fillId="0" fontId="4" numFmtId="0" xfId="0" applyAlignment="1" applyFont="1">
      <alignment horizontal="center" vertical="center"/>
    </xf>
    <xf borderId="0" fillId="0" fontId="5" numFmtId="0" xfId="0" applyFont="1"/>
    <xf borderId="0" fillId="0" fontId="1" numFmtId="0" xfId="0" applyFont="1"/>
    <xf borderId="0" fillId="0" fontId="6" numFmtId="0" xfId="0" applyAlignment="1" applyFont="1">
      <alignment readingOrder="0"/>
    </xf>
    <xf borderId="0" fillId="0" fontId="7" numFmtId="0" xfId="0" applyAlignment="1" applyFont="1">
      <alignment horizontal="center"/>
    </xf>
    <xf borderId="0" fillId="0" fontId="8" numFmtId="0" xfId="0" applyAlignment="1" applyFont="1">
      <alignment vertical="top"/>
    </xf>
    <xf borderId="0" fillId="0" fontId="6" numFmtId="0" xfId="0" applyAlignment="1" applyFont="1">
      <alignment readingOrder="0" vertical="top"/>
    </xf>
    <xf borderId="0" fillId="0" fontId="7" numFmtId="0" xfId="0" applyAlignment="1" applyFont="1">
      <alignment horizontal="right"/>
    </xf>
    <xf borderId="1" fillId="0" fontId="9" numFmtId="0" xfId="0" applyBorder="1" applyFont="1"/>
    <xf borderId="2" fillId="0" fontId="7" numFmtId="164" xfId="0" applyAlignment="1" applyBorder="1" applyFont="1" applyNumberFormat="1">
      <alignment horizontal="center" vertical="center"/>
    </xf>
    <xf borderId="3" fillId="0" fontId="9" numFmtId="0" xfId="0" applyBorder="1" applyFont="1"/>
    <xf borderId="4" fillId="0" fontId="7" numFmtId="0" xfId="0" applyAlignment="1" applyBorder="1" applyFont="1">
      <alignment horizontal="center" readingOrder="0" vertical="center"/>
    </xf>
    <xf borderId="5" fillId="2" fontId="7" numFmtId="165" xfId="0" applyAlignment="1" applyBorder="1" applyFill="1" applyFont="1" applyNumberFormat="1">
      <alignment horizontal="left" shrinkToFit="0" vertical="center" wrapText="1"/>
    </xf>
    <xf borderId="6" fillId="0" fontId="9" numFmtId="0" xfId="0" applyBorder="1" applyFont="1"/>
    <xf borderId="7" fillId="0" fontId="9" numFmtId="0" xfId="0" applyBorder="1" applyFont="1"/>
    <xf borderId="0" fillId="2" fontId="7" numFmtId="165" xfId="0" applyAlignment="1" applyFont="1" applyNumberFormat="1">
      <alignment horizontal="left" shrinkToFit="0" vertical="center" wrapText="1"/>
    </xf>
    <xf borderId="8" fillId="0" fontId="7" numFmtId="0" xfId="0" applyBorder="1" applyFont="1"/>
    <xf borderId="9" fillId="2" fontId="10" numFmtId="166" xfId="0" applyAlignment="1" applyBorder="1" applyFont="1" applyNumberFormat="1">
      <alignment horizontal="center" vertical="center"/>
    </xf>
    <xf borderId="10" fillId="2" fontId="10" numFmtId="166" xfId="0" applyAlignment="1" applyBorder="1" applyFont="1" applyNumberFormat="1">
      <alignment horizontal="center" vertical="center"/>
    </xf>
    <xf borderId="11" fillId="2" fontId="10" numFmtId="166" xfId="0" applyAlignment="1" applyBorder="1" applyFont="1" applyNumberFormat="1">
      <alignment horizontal="center" vertical="center"/>
    </xf>
    <xf borderId="0" fillId="2" fontId="10" numFmtId="166" xfId="0" applyAlignment="1" applyFont="1" applyNumberFormat="1">
      <alignment horizontal="center" vertical="center"/>
    </xf>
    <xf borderId="12" fillId="3" fontId="11" numFmtId="0" xfId="0" applyAlignment="1" applyBorder="1" applyFill="1" applyFont="1">
      <alignment horizontal="left" vertical="center"/>
    </xf>
    <xf borderId="12" fillId="3" fontId="11" numFmtId="0" xfId="0" applyAlignment="1" applyBorder="1" applyFont="1">
      <alignment horizontal="center" shrinkToFit="0" vertical="center" wrapText="1"/>
    </xf>
    <xf borderId="13" fillId="3" fontId="12" numFmtId="0" xfId="0" applyAlignment="1" applyBorder="1" applyFont="1">
      <alignment horizontal="center" shrinkToFit="1" vertical="center" wrapText="0"/>
    </xf>
    <xf borderId="0" fillId="3" fontId="12" numFmtId="0" xfId="0" applyAlignment="1" applyFont="1">
      <alignment horizontal="center" shrinkToFit="1" vertical="center" wrapText="0"/>
    </xf>
    <xf borderId="0" fillId="0" fontId="7" numFmtId="0" xfId="0" applyAlignment="1" applyFont="1">
      <alignment shrinkToFit="0" wrapText="1"/>
    </xf>
    <xf borderId="0" fillId="0" fontId="13" numFmtId="0" xfId="0" applyFont="1"/>
    <xf borderId="14" fillId="0" fontId="7" numFmtId="0" xfId="0" applyAlignment="1" applyBorder="1" applyFont="1">
      <alignment vertical="center"/>
    </xf>
    <xf borderId="0" fillId="0" fontId="7" numFmtId="0" xfId="0" applyAlignment="1" applyFont="1">
      <alignment vertical="center"/>
    </xf>
    <xf borderId="15" fillId="4" fontId="5" numFmtId="0" xfId="0" applyAlignment="1" applyBorder="1" applyFill="1" applyFont="1">
      <alignment horizontal="left" readingOrder="0" vertical="center"/>
    </xf>
    <xf borderId="15" fillId="4" fontId="7" numFmtId="0" xfId="0" applyAlignment="1" applyBorder="1" applyFont="1">
      <alignment horizontal="center" vertical="center"/>
    </xf>
    <xf borderId="15" fillId="4" fontId="7" numFmtId="9" xfId="0" applyAlignment="1" applyBorder="1" applyFont="1" applyNumberFormat="1">
      <alignment horizontal="center" vertical="center"/>
    </xf>
    <xf borderId="15" fillId="4" fontId="7" numFmtId="167" xfId="0" applyAlignment="1" applyBorder="1" applyFont="1" applyNumberFormat="1">
      <alignment horizontal="center" vertical="center"/>
    </xf>
    <xf borderId="16" fillId="0" fontId="7" numFmtId="0" xfId="0" applyAlignment="1" applyBorder="1" applyFont="1">
      <alignment horizontal="center" vertical="center"/>
    </xf>
    <xf borderId="17" fillId="0" fontId="7" numFmtId="0" xfId="0" applyAlignment="1" applyBorder="1" applyFont="1">
      <alignment vertical="center"/>
    </xf>
    <xf borderId="15" fillId="5" fontId="7" numFmtId="0" xfId="0" applyAlignment="1" applyBorder="1" applyFill="1" applyFont="1">
      <alignment horizontal="left" readingOrder="0" vertical="center"/>
    </xf>
    <xf borderId="15" fillId="5" fontId="7" numFmtId="0" xfId="0" applyAlignment="1" applyBorder="1" applyFont="1">
      <alignment horizontal="center" readingOrder="0" vertical="center"/>
    </xf>
    <xf borderId="15" fillId="5" fontId="7" numFmtId="9" xfId="0" applyAlignment="1" applyBorder="1" applyFont="1" applyNumberFormat="1">
      <alignment horizontal="center" readingOrder="0" vertical="center"/>
    </xf>
    <xf borderId="15" fillId="5" fontId="7" numFmtId="167" xfId="0" applyAlignment="1" applyBorder="1" applyFont="1" applyNumberFormat="1">
      <alignment horizontal="center" vertical="center"/>
    </xf>
    <xf borderId="18" fillId="0" fontId="7" numFmtId="0" xfId="0" applyAlignment="1" applyBorder="1" applyFont="1">
      <alignment vertical="center"/>
    </xf>
    <xf borderId="0" fillId="6" fontId="7" numFmtId="0" xfId="0" applyAlignment="1" applyFill="1" applyFont="1">
      <alignment vertical="center"/>
    </xf>
    <xf borderId="0" fillId="6" fontId="7" numFmtId="0" xfId="0" applyAlignment="1" applyFont="1">
      <alignment horizontal="right" vertical="center"/>
    </xf>
    <xf borderId="19" fillId="0" fontId="7" numFmtId="0" xfId="0" applyAlignment="1" applyBorder="1" applyFont="1">
      <alignment vertical="center"/>
    </xf>
    <xf borderId="20" fillId="0" fontId="7" numFmtId="0" xfId="0" applyAlignment="1" applyBorder="1" applyFont="1">
      <alignment vertical="center"/>
    </xf>
    <xf borderId="21" fillId="0" fontId="7" numFmtId="0" xfId="0" applyAlignment="1" applyBorder="1" applyFont="1">
      <alignment vertical="center"/>
    </xf>
    <xf borderId="22" fillId="0" fontId="7" numFmtId="0" xfId="0" applyAlignment="1" applyBorder="1" applyFont="1">
      <alignment vertical="center"/>
    </xf>
    <xf borderId="23" fillId="0" fontId="7" numFmtId="0" xfId="0" applyAlignment="1" applyBorder="1" applyFont="1">
      <alignment vertical="center"/>
    </xf>
    <xf borderId="15" fillId="7" fontId="5" numFmtId="0" xfId="0" applyAlignment="1" applyBorder="1" applyFill="1" applyFont="1">
      <alignment horizontal="left" readingOrder="0" vertical="center"/>
    </xf>
    <xf borderId="15" fillId="7" fontId="7" numFmtId="0" xfId="0" applyAlignment="1" applyBorder="1" applyFont="1">
      <alignment horizontal="center" vertical="center"/>
    </xf>
    <xf borderId="15" fillId="7" fontId="7" numFmtId="9" xfId="0" applyAlignment="1" applyBorder="1" applyFont="1" applyNumberFormat="1">
      <alignment horizontal="center" vertical="center"/>
    </xf>
    <xf borderId="15" fillId="7" fontId="7" numFmtId="167" xfId="0" applyAlignment="1" applyBorder="1" applyFont="1" applyNumberFormat="1">
      <alignment horizontal="center" vertical="center"/>
    </xf>
    <xf borderId="24" fillId="0" fontId="7" numFmtId="0" xfId="0" applyAlignment="1" applyBorder="1" applyFont="1">
      <alignment vertical="center"/>
    </xf>
    <xf borderId="15" fillId="8" fontId="7" numFmtId="0" xfId="0" applyAlignment="1" applyBorder="1" applyFill="1" applyFont="1">
      <alignment horizontal="left" readingOrder="0" vertical="center"/>
    </xf>
    <xf borderId="15" fillId="8" fontId="7" numFmtId="0" xfId="0" applyAlignment="1" applyBorder="1" applyFont="1">
      <alignment horizontal="center" readingOrder="0" vertical="center"/>
    </xf>
    <xf borderId="15" fillId="8" fontId="7" numFmtId="9" xfId="0" applyAlignment="1" applyBorder="1" applyFont="1" applyNumberFormat="1">
      <alignment horizontal="center" readingOrder="0" vertical="center"/>
    </xf>
    <xf borderId="15" fillId="8" fontId="7" numFmtId="167" xfId="0" applyAlignment="1" applyBorder="1" applyFont="1" applyNumberFormat="1">
      <alignment horizontal="center" vertical="center"/>
    </xf>
    <xf borderId="25" fillId="0" fontId="7" numFmtId="0" xfId="0" applyAlignment="1" applyBorder="1" applyFont="1">
      <alignment vertical="center"/>
    </xf>
    <xf borderId="18" fillId="0" fontId="7" numFmtId="0" xfId="0" applyBorder="1" applyFont="1"/>
    <xf borderId="0" fillId="6" fontId="7" numFmtId="0" xfId="0" applyFont="1"/>
    <xf borderId="21" fillId="0" fontId="7" numFmtId="0" xfId="0" applyAlignment="1" applyBorder="1" applyFont="1">
      <alignment horizontal="right" vertical="center"/>
    </xf>
    <xf borderId="20" fillId="0" fontId="7" numFmtId="0" xfId="0" applyBorder="1" applyFont="1"/>
    <xf borderId="21" fillId="0" fontId="7" numFmtId="0" xfId="0" applyBorder="1" applyFont="1"/>
    <xf borderId="17" fillId="0" fontId="7" numFmtId="0" xfId="0" applyBorder="1" applyFont="1"/>
    <xf borderId="0" fillId="9" fontId="7" numFmtId="0" xfId="0" applyFill="1" applyFont="1"/>
    <xf borderId="23" fillId="0" fontId="7" numFmtId="0" xfId="0" applyBorder="1" applyFont="1"/>
    <xf borderId="14" fillId="0" fontId="7" numFmtId="0" xfId="0" applyBorder="1" applyFont="1"/>
    <xf borderId="15" fillId="10" fontId="5" numFmtId="0" xfId="0" applyAlignment="1" applyBorder="1" applyFill="1" applyFont="1">
      <alignment horizontal="left" readingOrder="0" vertical="center"/>
    </xf>
    <xf borderId="15" fillId="10" fontId="7" numFmtId="0" xfId="0" applyAlignment="1" applyBorder="1" applyFont="1">
      <alignment horizontal="center" vertical="center"/>
    </xf>
    <xf borderId="15" fillId="10" fontId="7" numFmtId="9" xfId="0" applyAlignment="1" applyBorder="1" applyFont="1" applyNumberFormat="1">
      <alignment horizontal="center" vertical="center"/>
    </xf>
    <xf borderId="15" fillId="10" fontId="7" numFmtId="167" xfId="0" applyAlignment="1" applyBorder="1" applyFont="1" applyNumberFormat="1">
      <alignment horizontal="center" vertical="center"/>
    </xf>
    <xf borderId="15" fillId="11" fontId="7" numFmtId="0" xfId="0" applyAlignment="1" applyBorder="1" applyFill="1" applyFont="1">
      <alignment horizontal="left" readingOrder="0" vertical="center"/>
    </xf>
    <xf borderId="15" fillId="11" fontId="7" numFmtId="0" xfId="0" applyAlignment="1" applyBorder="1" applyFont="1">
      <alignment horizontal="center" readingOrder="0" vertical="center"/>
    </xf>
    <xf borderId="15" fillId="11" fontId="7" numFmtId="9" xfId="0" applyAlignment="1" applyBorder="1" applyFont="1" applyNumberFormat="1">
      <alignment horizontal="center" readingOrder="0" vertical="center"/>
    </xf>
    <xf borderId="15" fillId="11" fontId="7" numFmtId="167" xfId="0" applyAlignment="1" applyBorder="1" applyFont="1" applyNumberFormat="1">
      <alignment horizontal="center" vertical="center"/>
    </xf>
    <xf borderId="0" fillId="9" fontId="7" numFmtId="0" xfId="0" applyAlignment="1" applyFont="1">
      <alignment vertical="center"/>
    </xf>
    <xf borderId="15" fillId="12" fontId="5" numFmtId="0" xfId="0" applyAlignment="1" applyBorder="1" applyFill="1" applyFont="1">
      <alignment horizontal="left" readingOrder="0" vertical="center"/>
    </xf>
    <xf borderId="15" fillId="12" fontId="7" numFmtId="0" xfId="0" applyAlignment="1" applyBorder="1" applyFont="1">
      <alignment horizontal="center" vertical="center"/>
    </xf>
    <xf borderId="15" fillId="12" fontId="7" numFmtId="9" xfId="0" applyAlignment="1" applyBorder="1" applyFont="1" applyNumberFormat="1">
      <alignment horizontal="center" vertical="center"/>
    </xf>
    <xf borderId="15" fillId="12" fontId="7" numFmtId="167" xfId="0" applyAlignment="1" applyBorder="1" applyFont="1" applyNumberFormat="1">
      <alignment horizontal="center" vertical="center"/>
    </xf>
    <xf borderId="15" fillId="13" fontId="7" numFmtId="0" xfId="0" applyAlignment="1" applyBorder="1" applyFill="1" applyFont="1">
      <alignment horizontal="left" readingOrder="0" vertical="center"/>
    </xf>
    <xf borderId="15" fillId="13" fontId="7" numFmtId="0" xfId="0" applyAlignment="1" applyBorder="1" applyFont="1">
      <alignment horizontal="center" readingOrder="0" vertical="center"/>
    </xf>
    <xf borderId="15" fillId="13" fontId="7" numFmtId="9" xfId="0" applyAlignment="1" applyBorder="1" applyFont="1" applyNumberFormat="1">
      <alignment horizontal="center" readingOrder="0" vertical="center"/>
    </xf>
    <xf borderId="15" fillId="13" fontId="7" numFmtId="167" xfId="0" applyAlignment="1" applyBorder="1" applyFont="1" applyNumberFormat="1">
      <alignment horizontal="center" vertical="center"/>
    </xf>
    <xf borderId="15" fillId="14" fontId="14" numFmtId="0" xfId="0" applyAlignment="1" applyBorder="1" applyFill="1" applyFont="1">
      <alignment horizontal="left" vertical="center"/>
    </xf>
    <xf borderId="15" fillId="14" fontId="14" numFmtId="0" xfId="0" applyAlignment="1" applyBorder="1" applyFont="1">
      <alignment horizontal="center" vertical="center"/>
    </xf>
    <xf borderId="15" fillId="14" fontId="7" numFmtId="9" xfId="0" applyAlignment="1" applyBorder="1" applyFont="1" applyNumberFormat="1">
      <alignment horizontal="center" vertical="center"/>
    </xf>
    <xf borderId="15" fillId="14" fontId="15" numFmtId="167" xfId="0" applyAlignment="1" applyBorder="1" applyFont="1" applyNumberFormat="1">
      <alignment horizontal="left" vertical="center"/>
    </xf>
    <xf borderId="15" fillId="14" fontId="7" numFmtId="167" xfId="0" applyAlignment="1" applyBorder="1" applyFont="1" applyNumberFormat="1">
      <alignment horizontal="center" vertical="center"/>
    </xf>
    <xf borderId="15" fillId="14" fontId="7" numFmtId="0" xfId="0" applyAlignment="1" applyBorder="1" applyFont="1">
      <alignment horizontal="center" vertical="center"/>
    </xf>
    <xf borderId="14" fillId="14" fontId="7" numFmtId="0" xfId="0" applyAlignment="1" applyBorder="1" applyFont="1">
      <alignment vertical="center"/>
    </xf>
    <xf borderId="20" fillId="14" fontId="7" numFmtId="0" xfId="0" applyAlignment="1" applyBorder="1" applyFont="1">
      <alignment vertical="center"/>
    </xf>
    <xf borderId="0" fillId="14" fontId="7" numFmtId="0" xfId="0" applyAlignment="1" applyFont="1">
      <alignment vertical="center"/>
    </xf>
    <xf borderId="0" fillId="0" fontId="7" numFmtId="0" xfId="0" applyAlignment="1" applyFont="1">
      <alignment horizontal="right" vertical="center"/>
    </xf>
    <xf borderId="0" fillId="0" fontId="16" numFmtId="0" xfId="0" applyFont="1"/>
    <xf borderId="0" fillId="0" fontId="1" numFmtId="0" xfId="0" applyAlignment="1" applyFont="1">
      <alignment horizontal="center"/>
    </xf>
    <xf borderId="0" fillId="0" fontId="17" numFmtId="0" xfId="0" applyFont="1"/>
  </cellXfs>
  <cellStyles count="1">
    <cellStyle xfId="0" name="Normal" builtinId="0"/>
  </cellStyles>
  <dxfs count="1">
    <dxf>
      <font/>
      <fill>
        <patternFill patternType="none"/>
      </fill>
      <border>
        <left style="thin">
          <color rgb="FFC00000"/>
        </left>
        <right style="thin">
          <color rgb="FFC00000"/>
        </right>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6.0" topLeftCell="A7" activePane="bottomLeft" state="frozen"/>
      <selection activeCell="B8" sqref="B8" pane="bottomLeft"/>
    </sheetView>
  </sheetViews>
  <sheetFormatPr customHeight="1" defaultColWidth="14.43" defaultRowHeight="15.0"/>
  <cols>
    <col customWidth="1" min="1" max="1" width="2.71"/>
    <col customWidth="1" min="2" max="2" width="57.86"/>
    <col customWidth="1" min="3" max="3" width="30.71"/>
    <col customWidth="1" min="4" max="4" width="10.71"/>
    <col customWidth="1" min="5" max="6" width="10.43"/>
    <col customWidth="1" min="7" max="7" width="3.14"/>
    <col customWidth="1" hidden="1" min="8" max="8" width="6.14"/>
    <col customWidth="1" min="9" max="95" width="3.14"/>
  </cols>
  <sheetData>
    <row r="1" ht="30.0" customHeight="1">
      <c r="A1" s="1" t="s">
        <v>0</v>
      </c>
      <c r="B1" s="2" t="s">
        <v>1</v>
      </c>
      <c r="C1" s="3"/>
      <c r="D1" s="4"/>
      <c r="E1" s="5"/>
      <c r="F1" s="6"/>
      <c r="H1" s="4"/>
      <c r="I1" s="7"/>
    </row>
    <row r="2" ht="30.0" customHeight="1">
      <c r="A2" s="8" t="s">
        <v>2</v>
      </c>
      <c r="B2" s="9" t="s">
        <v>3</v>
      </c>
      <c r="E2" s="10"/>
      <c r="I2" s="11"/>
    </row>
    <row r="3" ht="30.0" customHeight="1">
      <c r="A3" s="8" t="s">
        <v>4</v>
      </c>
      <c r="B3" s="12" t="s">
        <v>5</v>
      </c>
      <c r="C3" s="13" t="s">
        <v>6</v>
      </c>
      <c r="D3" s="14"/>
      <c r="E3" s="15">
        <f>DATE(2026, 3, 26)</f>
        <v>46107</v>
      </c>
      <c r="F3" s="16"/>
    </row>
    <row r="4" ht="30.0" customHeight="1">
      <c r="A4" s="1" t="s">
        <v>7</v>
      </c>
      <c r="C4" s="13" t="s">
        <v>8</v>
      </c>
      <c r="D4" s="14"/>
      <c r="E4" s="17">
        <v>1.0</v>
      </c>
      <c r="I4" s="18">
        <f>I5</f>
        <v>46104</v>
      </c>
      <c r="J4" s="19"/>
      <c r="K4" s="19"/>
      <c r="L4" s="19"/>
      <c r="M4" s="19"/>
      <c r="N4" s="19"/>
      <c r="O4" s="20"/>
      <c r="P4" s="18">
        <f>P5</f>
        <v>46111</v>
      </c>
      <c r="Q4" s="19"/>
      <c r="R4" s="19"/>
      <c r="S4" s="19"/>
      <c r="T4" s="19"/>
      <c r="U4" s="19"/>
      <c r="V4" s="20"/>
      <c r="W4" s="18">
        <f>W5</f>
        <v>46118</v>
      </c>
      <c r="X4" s="19"/>
      <c r="Y4" s="19"/>
      <c r="Z4" s="19"/>
      <c r="AA4" s="19"/>
      <c r="AB4" s="19"/>
      <c r="AC4" s="20"/>
      <c r="AD4" s="18">
        <f>AD5</f>
        <v>46125</v>
      </c>
      <c r="AE4" s="19"/>
      <c r="AF4" s="19"/>
      <c r="AG4" s="19"/>
      <c r="AH4" s="19"/>
      <c r="AI4" s="19"/>
      <c r="AJ4" s="20"/>
      <c r="AK4" s="18">
        <f>AK5</f>
        <v>46132</v>
      </c>
      <c r="AL4" s="19"/>
      <c r="AM4" s="19"/>
      <c r="AN4" s="19"/>
      <c r="AO4" s="19"/>
      <c r="AP4" s="19"/>
      <c r="AQ4" s="20"/>
      <c r="AR4" s="18">
        <f>AR5</f>
        <v>46139</v>
      </c>
      <c r="AS4" s="19"/>
      <c r="AT4" s="19"/>
      <c r="AU4" s="19"/>
      <c r="AV4" s="19"/>
      <c r="AW4" s="19"/>
      <c r="AX4" s="20"/>
      <c r="AY4" s="18">
        <f>AY5</f>
        <v>46146</v>
      </c>
      <c r="AZ4" s="19"/>
      <c r="BA4" s="19"/>
      <c r="BB4" s="19"/>
      <c r="BC4" s="19"/>
      <c r="BD4" s="19"/>
      <c r="BE4" s="20"/>
      <c r="BF4" s="18">
        <f>BF5</f>
        <v>46153</v>
      </c>
      <c r="BG4" s="19"/>
      <c r="BH4" s="19"/>
      <c r="BI4" s="19"/>
      <c r="BJ4" s="19"/>
      <c r="BK4" s="19"/>
      <c r="BL4" s="20"/>
      <c r="BM4" s="18">
        <f>BM5</f>
        <v>46160</v>
      </c>
      <c r="BN4" s="19"/>
      <c r="BO4" s="19"/>
      <c r="BP4" s="19"/>
      <c r="BQ4" s="19"/>
      <c r="BR4" s="19"/>
      <c r="BS4" s="20"/>
      <c r="BT4" s="18">
        <f>BT5</f>
        <v>46167</v>
      </c>
      <c r="BU4" s="19"/>
      <c r="BV4" s="19"/>
      <c r="BW4" s="19"/>
      <c r="BX4" s="19"/>
      <c r="BY4" s="19"/>
      <c r="BZ4" s="20"/>
      <c r="CA4" s="18">
        <f>CA5</f>
        <v>46174</v>
      </c>
      <c r="CB4" s="19"/>
      <c r="CC4" s="19"/>
      <c r="CD4" s="19"/>
      <c r="CE4" s="19"/>
      <c r="CF4" s="19"/>
      <c r="CG4" s="20"/>
      <c r="CH4" s="18">
        <f>CH5</f>
        <v>46181</v>
      </c>
      <c r="CI4" s="19"/>
      <c r="CJ4" s="19"/>
      <c r="CK4" s="19"/>
      <c r="CL4" s="19"/>
      <c r="CM4" s="19"/>
      <c r="CN4" s="20"/>
      <c r="CO4" s="21"/>
      <c r="CP4" s="21"/>
      <c r="CQ4" s="21"/>
    </row>
    <row r="5" ht="15.0" customHeight="1">
      <c r="A5" s="1" t="s">
        <v>9</v>
      </c>
      <c r="B5" s="22"/>
      <c r="C5" s="22"/>
      <c r="D5" s="22"/>
      <c r="E5" s="22"/>
      <c r="F5" s="22"/>
      <c r="G5" s="22"/>
      <c r="I5" s="23">
        <f>Inicio_del_proyecto-WEEKDAY(Inicio_del_proyecto,1)+2+7*(Semana_para_mostrar-1)</f>
        <v>46104</v>
      </c>
      <c r="J5" s="24">
        <f t="shared" ref="J5:CN5" si="1">I5+1</f>
        <v>46105</v>
      </c>
      <c r="K5" s="24">
        <f t="shared" si="1"/>
        <v>46106</v>
      </c>
      <c r="L5" s="24">
        <f t="shared" si="1"/>
        <v>46107</v>
      </c>
      <c r="M5" s="24">
        <f t="shared" si="1"/>
        <v>46108</v>
      </c>
      <c r="N5" s="24">
        <f t="shared" si="1"/>
        <v>46109</v>
      </c>
      <c r="O5" s="25">
        <f t="shared" si="1"/>
        <v>46110</v>
      </c>
      <c r="P5" s="23">
        <f t="shared" si="1"/>
        <v>46111</v>
      </c>
      <c r="Q5" s="24">
        <f t="shared" si="1"/>
        <v>46112</v>
      </c>
      <c r="R5" s="24">
        <f t="shared" si="1"/>
        <v>46113</v>
      </c>
      <c r="S5" s="24">
        <f t="shared" si="1"/>
        <v>46114</v>
      </c>
      <c r="T5" s="24">
        <f t="shared" si="1"/>
        <v>46115</v>
      </c>
      <c r="U5" s="24">
        <f t="shared" si="1"/>
        <v>46116</v>
      </c>
      <c r="V5" s="25">
        <f t="shared" si="1"/>
        <v>46117</v>
      </c>
      <c r="W5" s="23">
        <f t="shared" si="1"/>
        <v>46118</v>
      </c>
      <c r="X5" s="24">
        <f t="shared" si="1"/>
        <v>46119</v>
      </c>
      <c r="Y5" s="24">
        <f t="shared" si="1"/>
        <v>46120</v>
      </c>
      <c r="Z5" s="24">
        <f t="shared" si="1"/>
        <v>46121</v>
      </c>
      <c r="AA5" s="24">
        <f t="shared" si="1"/>
        <v>46122</v>
      </c>
      <c r="AB5" s="24">
        <f t="shared" si="1"/>
        <v>46123</v>
      </c>
      <c r="AC5" s="25">
        <f t="shared" si="1"/>
        <v>46124</v>
      </c>
      <c r="AD5" s="23">
        <f t="shared" si="1"/>
        <v>46125</v>
      </c>
      <c r="AE5" s="24">
        <f t="shared" si="1"/>
        <v>46126</v>
      </c>
      <c r="AF5" s="24">
        <f t="shared" si="1"/>
        <v>46127</v>
      </c>
      <c r="AG5" s="24">
        <f t="shared" si="1"/>
        <v>46128</v>
      </c>
      <c r="AH5" s="24">
        <f t="shared" si="1"/>
        <v>46129</v>
      </c>
      <c r="AI5" s="24">
        <f t="shared" si="1"/>
        <v>46130</v>
      </c>
      <c r="AJ5" s="25">
        <f t="shared" si="1"/>
        <v>46131</v>
      </c>
      <c r="AK5" s="23">
        <f t="shared" si="1"/>
        <v>46132</v>
      </c>
      <c r="AL5" s="24">
        <f t="shared" si="1"/>
        <v>46133</v>
      </c>
      <c r="AM5" s="24">
        <f t="shared" si="1"/>
        <v>46134</v>
      </c>
      <c r="AN5" s="24">
        <f t="shared" si="1"/>
        <v>46135</v>
      </c>
      <c r="AO5" s="24">
        <f t="shared" si="1"/>
        <v>46136</v>
      </c>
      <c r="AP5" s="24">
        <f t="shared" si="1"/>
        <v>46137</v>
      </c>
      <c r="AQ5" s="25">
        <f t="shared" si="1"/>
        <v>46138</v>
      </c>
      <c r="AR5" s="23">
        <f t="shared" si="1"/>
        <v>46139</v>
      </c>
      <c r="AS5" s="24">
        <f t="shared" si="1"/>
        <v>46140</v>
      </c>
      <c r="AT5" s="24">
        <f t="shared" si="1"/>
        <v>46141</v>
      </c>
      <c r="AU5" s="24">
        <f t="shared" si="1"/>
        <v>46142</v>
      </c>
      <c r="AV5" s="24">
        <f t="shared" si="1"/>
        <v>46143</v>
      </c>
      <c r="AW5" s="24">
        <f t="shared" si="1"/>
        <v>46144</v>
      </c>
      <c r="AX5" s="25">
        <f t="shared" si="1"/>
        <v>46145</v>
      </c>
      <c r="AY5" s="23">
        <f t="shared" si="1"/>
        <v>46146</v>
      </c>
      <c r="AZ5" s="24">
        <f t="shared" si="1"/>
        <v>46147</v>
      </c>
      <c r="BA5" s="24">
        <f t="shared" si="1"/>
        <v>46148</v>
      </c>
      <c r="BB5" s="24">
        <f t="shared" si="1"/>
        <v>46149</v>
      </c>
      <c r="BC5" s="24">
        <f t="shared" si="1"/>
        <v>46150</v>
      </c>
      <c r="BD5" s="24">
        <f t="shared" si="1"/>
        <v>46151</v>
      </c>
      <c r="BE5" s="25">
        <f t="shared" si="1"/>
        <v>46152</v>
      </c>
      <c r="BF5" s="23">
        <f t="shared" si="1"/>
        <v>46153</v>
      </c>
      <c r="BG5" s="24">
        <f t="shared" si="1"/>
        <v>46154</v>
      </c>
      <c r="BH5" s="24">
        <f t="shared" si="1"/>
        <v>46155</v>
      </c>
      <c r="BI5" s="24">
        <f t="shared" si="1"/>
        <v>46156</v>
      </c>
      <c r="BJ5" s="24">
        <f t="shared" si="1"/>
        <v>46157</v>
      </c>
      <c r="BK5" s="24">
        <f t="shared" si="1"/>
        <v>46158</v>
      </c>
      <c r="BL5" s="25">
        <f t="shared" si="1"/>
        <v>46159</v>
      </c>
      <c r="BM5" s="23">
        <f t="shared" si="1"/>
        <v>46160</v>
      </c>
      <c r="BN5" s="24">
        <f t="shared" si="1"/>
        <v>46161</v>
      </c>
      <c r="BO5" s="24">
        <f t="shared" si="1"/>
        <v>46162</v>
      </c>
      <c r="BP5" s="24">
        <f t="shared" si="1"/>
        <v>46163</v>
      </c>
      <c r="BQ5" s="24">
        <f t="shared" si="1"/>
        <v>46164</v>
      </c>
      <c r="BR5" s="24">
        <f t="shared" si="1"/>
        <v>46165</v>
      </c>
      <c r="BS5" s="25">
        <f t="shared" si="1"/>
        <v>46166</v>
      </c>
      <c r="BT5" s="23">
        <f t="shared" si="1"/>
        <v>46167</v>
      </c>
      <c r="BU5" s="24">
        <f t="shared" si="1"/>
        <v>46168</v>
      </c>
      <c r="BV5" s="24">
        <f t="shared" si="1"/>
        <v>46169</v>
      </c>
      <c r="BW5" s="24">
        <f t="shared" si="1"/>
        <v>46170</v>
      </c>
      <c r="BX5" s="24">
        <f t="shared" si="1"/>
        <v>46171</v>
      </c>
      <c r="BY5" s="24">
        <f t="shared" si="1"/>
        <v>46172</v>
      </c>
      <c r="BZ5" s="25">
        <f t="shared" si="1"/>
        <v>46173</v>
      </c>
      <c r="CA5" s="23">
        <f t="shared" si="1"/>
        <v>46174</v>
      </c>
      <c r="CB5" s="24">
        <f t="shared" si="1"/>
        <v>46175</v>
      </c>
      <c r="CC5" s="24">
        <f t="shared" si="1"/>
        <v>46176</v>
      </c>
      <c r="CD5" s="24">
        <f t="shared" si="1"/>
        <v>46177</v>
      </c>
      <c r="CE5" s="24">
        <f t="shared" si="1"/>
        <v>46178</v>
      </c>
      <c r="CF5" s="24">
        <f t="shared" si="1"/>
        <v>46179</v>
      </c>
      <c r="CG5" s="25">
        <f t="shared" si="1"/>
        <v>46180</v>
      </c>
      <c r="CH5" s="23">
        <f t="shared" si="1"/>
        <v>46181</v>
      </c>
      <c r="CI5" s="24">
        <f t="shared" si="1"/>
        <v>46182</v>
      </c>
      <c r="CJ5" s="24">
        <f t="shared" si="1"/>
        <v>46183</v>
      </c>
      <c r="CK5" s="24">
        <f t="shared" si="1"/>
        <v>46184</v>
      </c>
      <c r="CL5" s="24">
        <f t="shared" si="1"/>
        <v>46185</v>
      </c>
      <c r="CM5" s="24">
        <f t="shared" si="1"/>
        <v>46186</v>
      </c>
      <c r="CN5" s="25">
        <f t="shared" si="1"/>
        <v>46187</v>
      </c>
      <c r="CO5" s="26"/>
      <c r="CP5" s="26"/>
      <c r="CQ5" s="26"/>
    </row>
    <row r="6" ht="30.0" customHeight="1">
      <c r="A6" s="1" t="s">
        <v>10</v>
      </c>
      <c r="B6" s="27" t="s">
        <v>11</v>
      </c>
      <c r="C6" s="28" t="s">
        <v>12</v>
      </c>
      <c r="D6" s="28" t="s">
        <v>13</v>
      </c>
      <c r="E6" s="28" t="s">
        <v>14</v>
      </c>
      <c r="F6" s="28" t="s">
        <v>15</v>
      </c>
      <c r="G6" s="28"/>
      <c r="H6" s="28" t="s">
        <v>16</v>
      </c>
      <c r="I6" s="29" t="str">
        <f t="shared" ref="I6:CN6" si="2">LEFT(TEXT(I5,"ddd"),1)</f>
        <v>l</v>
      </c>
      <c r="J6" s="29" t="str">
        <f t="shared" si="2"/>
        <v>m</v>
      </c>
      <c r="K6" s="29" t="str">
        <f t="shared" si="2"/>
        <v>m</v>
      </c>
      <c r="L6" s="29" t="str">
        <f t="shared" si="2"/>
        <v>j</v>
      </c>
      <c r="M6" s="29" t="str">
        <f t="shared" si="2"/>
        <v>v</v>
      </c>
      <c r="N6" s="29" t="str">
        <f t="shared" si="2"/>
        <v>s</v>
      </c>
      <c r="O6" s="29" t="str">
        <f t="shared" si="2"/>
        <v>d</v>
      </c>
      <c r="P6" s="29" t="str">
        <f t="shared" si="2"/>
        <v>l</v>
      </c>
      <c r="Q6" s="29" t="str">
        <f t="shared" si="2"/>
        <v>m</v>
      </c>
      <c r="R6" s="29" t="str">
        <f t="shared" si="2"/>
        <v>m</v>
      </c>
      <c r="S6" s="29" t="str">
        <f t="shared" si="2"/>
        <v>j</v>
      </c>
      <c r="T6" s="29" t="str">
        <f t="shared" si="2"/>
        <v>v</v>
      </c>
      <c r="U6" s="29" t="str">
        <f t="shared" si="2"/>
        <v>s</v>
      </c>
      <c r="V6" s="29" t="str">
        <f t="shared" si="2"/>
        <v>d</v>
      </c>
      <c r="W6" s="29" t="str">
        <f t="shared" si="2"/>
        <v>l</v>
      </c>
      <c r="X6" s="29" t="str">
        <f t="shared" si="2"/>
        <v>m</v>
      </c>
      <c r="Y6" s="29" t="str">
        <f t="shared" si="2"/>
        <v>m</v>
      </c>
      <c r="Z6" s="29" t="str">
        <f t="shared" si="2"/>
        <v>j</v>
      </c>
      <c r="AA6" s="29" t="str">
        <f t="shared" si="2"/>
        <v>v</v>
      </c>
      <c r="AB6" s="29" t="str">
        <f t="shared" si="2"/>
        <v>s</v>
      </c>
      <c r="AC6" s="29" t="str">
        <f t="shared" si="2"/>
        <v>d</v>
      </c>
      <c r="AD6" s="29" t="str">
        <f t="shared" si="2"/>
        <v>l</v>
      </c>
      <c r="AE6" s="29" t="str">
        <f t="shared" si="2"/>
        <v>m</v>
      </c>
      <c r="AF6" s="29" t="str">
        <f t="shared" si="2"/>
        <v>m</v>
      </c>
      <c r="AG6" s="29" t="str">
        <f t="shared" si="2"/>
        <v>j</v>
      </c>
      <c r="AH6" s="29" t="str">
        <f t="shared" si="2"/>
        <v>v</v>
      </c>
      <c r="AI6" s="29" t="str">
        <f t="shared" si="2"/>
        <v>s</v>
      </c>
      <c r="AJ6" s="29" t="str">
        <f t="shared" si="2"/>
        <v>d</v>
      </c>
      <c r="AK6" s="29" t="str">
        <f t="shared" si="2"/>
        <v>l</v>
      </c>
      <c r="AL6" s="29" t="str">
        <f t="shared" si="2"/>
        <v>m</v>
      </c>
      <c r="AM6" s="29" t="str">
        <f t="shared" si="2"/>
        <v>m</v>
      </c>
      <c r="AN6" s="29" t="str">
        <f t="shared" si="2"/>
        <v>j</v>
      </c>
      <c r="AO6" s="29" t="str">
        <f t="shared" si="2"/>
        <v>v</v>
      </c>
      <c r="AP6" s="29" t="str">
        <f t="shared" si="2"/>
        <v>s</v>
      </c>
      <c r="AQ6" s="29" t="str">
        <f t="shared" si="2"/>
        <v>d</v>
      </c>
      <c r="AR6" s="29" t="str">
        <f t="shared" si="2"/>
        <v>l</v>
      </c>
      <c r="AS6" s="29" t="str">
        <f t="shared" si="2"/>
        <v>m</v>
      </c>
      <c r="AT6" s="29" t="str">
        <f t="shared" si="2"/>
        <v>m</v>
      </c>
      <c r="AU6" s="29" t="str">
        <f t="shared" si="2"/>
        <v>j</v>
      </c>
      <c r="AV6" s="29" t="str">
        <f t="shared" si="2"/>
        <v>v</v>
      </c>
      <c r="AW6" s="29" t="str">
        <f t="shared" si="2"/>
        <v>s</v>
      </c>
      <c r="AX6" s="29" t="str">
        <f t="shared" si="2"/>
        <v>d</v>
      </c>
      <c r="AY6" s="29" t="str">
        <f t="shared" si="2"/>
        <v>l</v>
      </c>
      <c r="AZ6" s="29" t="str">
        <f t="shared" si="2"/>
        <v>m</v>
      </c>
      <c r="BA6" s="29" t="str">
        <f t="shared" si="2"/>
        <v>m</v>
      </c>
      <c r="BB6" s="29" t="str">
        <f t="shared" si="2"/>
        <v>j</v>
      </c>
      <c r="BC6" s="29" t="str">
        <f t="shared" si="2"/>
        <v>v</v>
      </c>
      <c r="BD6" s="29" t="str">
        <f t="shared" si="2"/>
        <v>s</v>
      </c>
      <c r="BE6" s="29" t="str">
        <f t="shared" si="2"/>
        <v>d</v>
      </c>
      <c r="BF6" s="29" t="str">
        <f t="shared" si="2"/>
        <v>l</v>
      </c>
      <c r="BG6" s="29" t="str">
        <f t="shared" si="2"/>
        <v>m</v>
      </c>
      <c r="BH6" s="29" t="str">
        <f t="shared" si="2"/>
        <v>m</v>
      </c>
      <c r="BI6" s="29" t="str">
        <f t="shared" si="2"/>
        <v>j</v>
      </c>
      <c r="BJ6" s="29" t="str">
        <f t="shared" si="2"/>
        <v>v</v>
      </c>
      <c r="BK6" s="29" t="str">
        <f t="shared" si="2"/>
        <v>s</v>
      </c>
      <c r="BL6" s="29" t="str">
        <f t="shared" si="2"/>
        <v>d</v>
      </c>
      <c r="BM6" s="29" t="str">
        <f t="shared" si="2"/>
        <v>l</v>
      </c>
      <c r="BN6" s="29" t="str">
        <f t="shared" si="2"/>
        <v>m</v>
      </c>
      <c r="BO6" s="29" t="str">
        <f t="shared" si="2"/>
        <v>m</v>
      </c>
      <c r="BP6" s="29" t="str">
        <f t="shared" si="2"/>
        <v>j</v>
      </c>
      <c r="BQ6" s="29" t="str">
        <f t="shared" si="2"/>
        <v>v</v>
      </c>
      <c r="BR6" s="29" t="str">
        <f t="shared" si="2"/>
        <v>s</v>
      </c>
      <c r="BS6" s="29" t="str">
        <f t="shared" si="2"/>
        <v>d</v>
      </c>
      <c r="BT6" s="29" t="str">
        <f t="shared" si="2"/>
        <v>l</v>
      </c>
      <c r="BU6" s="29" t="str">
        <f t="shared" si="2"/>
        <v>m</v>
      </c>
      <c r="BV6" s="29" t="str">
        <f t="shared" si="2"/>
        <v>m</v>
      </c>
      <c r="BW6" s="29" t="str">
        <f t="shared" si="2"/>
        <v>j</v>
      </c>
      <c r="BX6" s="29" t="str">
        <f t="shared" si="2"/>
        <v>v</v>
      </c>
      <c r="BY6" s="29" t="str">
        <f t="shared" si="2"/>
        <v>s</v>
      </c>
      <c r="BZ6" s="29" t="str">
        <f t="shared" si="2"/>
        <v>d</v>
      </c>
      <c r="CA6" s="29" t="str">
        <f t="shared" si="2"/>
        <v>l</v>
      </c>
      <c r="CB6" s="29" t="str">
        <f t="shared" si="2"/>
        <v>m</v>
      </c>
      <c r="CC6" s="29" t="str">
        <f t="shared" si="2"/>
        <v>m</v>
      </c>
      <c r="CD6" s="29" t="str">
        <f t="shared" si="2"/>
        <v>j</v>
      </c>
      <c r="CE6" s="29" t="str">
        <f t="shared" si="2"/>
        <v>v</v>
      </c>
      <c r="CF6" s="29" t="str">
        <f t="shared" si="2"/>
        <v>s</v>
      </c>
      <c r="CG6" s="29" t="str">
        <f t="shared" si="2"/>
        <v>d</v>
      </c>
      <c r="CH6" s="29" t="str">
        <f t="shared" si="2"/>
        <v>l</v>
      </c>
      <c r="CI6" s="29" t="str">
        <f t="shared" si="2"/>
        <v>m</v>
      </c>
      <c r="CJ6" s="29" t="str">
        <f t="shared" si="2"/>
        <v>m</v>
      </c>
      <c r="CK6" s="29" t="str">
        <f t="shared" si="2"/>
        <v>j</v>
      </c>
      <c r="CL6" s="29" t="str">
        <f t="shared" si="2"/>
        <v>v</v>
      </c>
      <c r="CM6" s="29" t="str">
        <f t="shared" si="2"/>
        <v>s</v>
      </c>
      <c r="CN6" s="29" t="str">
        <f t="shared" si="2"/>
        <v>d</v>
      </c>
      <c r="CO6" s="30"/>
      <c r="CP6" s="30"/>
      <c r="CQ6" s="30"/>
    </row>
    <row r="7" ht="30.0" hidden="1" customHeight="1">
      <c r="A7" s="8" t="s">
        <v>17</v>
      </c>
      <c r="C7" s="31"/>
      <c r="H7" s="32" t="str">
        <f>IF(OR(ISBLANK('Casa Taller Muso'!task_start),ISBLANK('Casa Taller Muso'!task_end)),"",'Casa Taller Muso'!task_end-'Casa Taller Muso'!task_start+1)</f>
        <v/>
      </c>
      <c r="I7" s="33"/>
      <c r="J7" s="33"/>
      <c r="K7" s="33"/>
      <c r="L7" s="33"/>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4"/>
      <c r="BN7" s="34"/>
      <c r="BO7" s="34"/>
      <c r="BP7" s="34"/>
      <c r="BQ7" s="34"/>
      <c r="BR7" s="34"/>
      <c r="BS7" s="34"/>
      <c r="BT7" s="34"/>
      <c r="BU7" s="34"/>
      <c r="BV7" s="34"/>
      <c r="BW7" s="34"/>
      <c r="BX7" s="34"/>
      <c r="BY7" s="34"/>
      <c r="BZ7" s="34"/>
      <c r="CA7" s="34"/>
      <c r="CB7" s="34"/>
      <c r="CC7" s="34"/>
      <c r="CD7" s="34"/>
      <c r="CE7" s="34"/>
      <c r="CF7" s="34"/>
      <c r="CG7" s="34"/>
      <c r="CH7" s="34"/>
      <c r="CI7" s="34"/>
      <c r="CJ7" s="34"/>
      <c r="CK7" s="34"/>
      <c r="CL7" s="34"/>
      <c r="CM7" s="34"/>
      <c r="CN7" s="34"/>
      <c r="CO7" s="34"/>
      <c r="CP7" s="34"/>
      <c r="CQ7" s="34"/>
    </row>
    <row r="8" ht="30.0" customHeight="1">
      <c r="A8" s="1" t="s">
        <v>18</v>
      </c>
      <c r="B8" s="35" t="s">
        <v>19</v>
      </c>
      <c r="C8" s="36"/>
      <c r="D8" s="37"/>
      <c r="E8" s="38"/>
      <c r="F8" s="38"/>
      <c r="G8" s="39"/>
      <c r="H8" s="39" t="str">
        <f>IF(OR(ISBLANK('Casa Taller Muso'!task_start),ISBLANK('Casa Taller Muso'!task_end)),"",'Casa Taller Muso'!task_end-'Casa Taller Muso'!task_start+1)</f>
        <v/>
      </c>
      <c r="I8" s="33"/>
      <c r="J8" s="33"/>
      <c r="K8" s="33"/>
      <c r="L8" s="40"/>
      <c r="M8" s="40"/>
      <c r="N8" s="40"/>
      <c r="O8" s="40"/>
      <c r="P8" s="40"/>
      <c r="Q8" s="40"/>
      <c r="R8" s="40"/>
      <c r="S8" s="40"/>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4"/>
      <c r="CP8" s="34"/>
      <c r="CQ8" s="34"/>
    </row>
    <row r="9" ht="30.0" customHeight="1">
      <c r="A9" s="1" t="s">
        <v>20</v>
      </c>
      <c r="B9" s="41" t="s">
        <v>21</v>
      </c>
      <c r="C9" s="42" t="s">
        <v>22</v>
      </c>
      <c r="D9" s="43">
        <v>1.0</v>
      </c>
      <c r="E9" s="44">
        <f>Inicio_del_proyecto</f>
        <v>46107</v>
      </c>
      <c r="F9" s="44">
        <f>E9+4</f>
        <v>46111</v>
      </c>
      <c r="G9" s="39"/>
      <c r="H9" s="39" t="str">
        <f>IF(OR(ISBLANK('Casa Taller Muso'!task_start),ISBLANK('Casa Taller Muso'!task_end)),"",'Casa Taller Muso'!task_end-'Casa Taller Muso'!task_start+1)</f>
        <v/>
      </c>
      <c r="I9" s="33"/>
      <c r="J9" s="33"/>
      <c r="K9" s="45"/>
      <c r="L9" s="46"/>
      <c r="M9" s="46"/>
      <c r="N9" s="46"/>
      <c r="O9" s="46"/>
      <c r="P9" s="46"/>
      <c r="Q9" s="40"/>
      <c r="R9" s="40"/>
      <c r="S9" s="40"/>
      <c r="T9" s="40"/>
      <c r="U9" s="40"/>
      <c r="V9" s="40"/>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4"/>
      <c r="CP9" s="34"/>
      <c r="CQ9" s="34"/>
    </row>
    <row r="10" ht="30.0" customHeight="1">
      <c r="A10" s="1" t="s">
        <v>23</v>
      </c>
      <c r="B10" s="41" t="s">
        <v>24</v>
      </c>
      <c r="C10" s="42" t="s">
        <v>25</v>
      </c>
      <c r="D10" s="43">
        <v>1.0</v>
      </c>
      <c r="E10" s="44">
        <f t="shared" ref="E10:E11" si="3">F9+1</f>
        <v>46112</v>
      </c>
      <c r="F10" s="44">
        <f>E10+5</f>
        <v>46117</v>
      </c>
      <c r="G10" s="39"/>
      <c r="H10" s="39" t="str">
        <f>IF(OR(ISBLANK('Casa Taller Muso'!task_start),ISBLANK('Casa Taller Muso'!task_end)),"",'Casa Taller Muso'!task_end-'Casa Taller Muso'!task_start+1)</f>
        <v/>
      </c>
      <c r="I10" s="33"/>
      <c r="J10" s="33"/>
      <c r="K10" s="33"/>
      <c r="L10" s="33"/>
      <c r="M10" s="33"/>
      <c r="N10" s="33"/>
      <c r="O10" s="33"/>
      <c r="P10" s="45"/>
      <c r="Q10" s="46"/>
      <c r="R10" s="46"/>
      <c r="S10" s="46"/>
      <c r="T10" s="46"/>
      <c r="U10" s="47"/>
      <c r="V10" s="47"/>
      <c r="W10" s="48"/>
      <c r="X10" s="40"/>
      <c r="Y10" s="40"/>
      <c r="Z10" s="40"/>
      <c r="AA10" s="40"/>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4"/>
      <c r="CP10" s="34"/>
      <c r="CQ10" s="34"/>
    </row>
    <row r="11" ht="30.0" customHeight="1">
      <c r="A11" s="8"/>
      <c r="B11" s="41" t="s">
        <v>26</v>
      </c>
      <c r="C11" s="42" t="s">
        <v>27</v>
      </c>
      <c r="D11" s="43">
        <v>1.0</v>
      </c>
      <c r="E11" s="44">
        <f t="shared" si="3"/>
        <v>46118</v>
      </c>
      <c r="F11" s="44">
        <f>E11+4</f>
        <v>46122</v>
      </c>
      <c r="G11" s="39"/>
      <c r="H11" s="39" t="str">
        <f>IF(OR(ISBLANK('Casa Taller Muso'!task_start),ISBLANK('Casa Taller Muso'!task_end)),"",'Casa Taller Muso'!task_end-'Casa Taller Muso'!task_start+1)</f>
        <v/>
      </c>
      <c r="I11" s="33"/>
      <c r="J11" s="33"/>
      <c r="K11" s="33"/>
      <c r="L11" s="33"/>
      <c r="M11" s="49"/>
      <c r="N11" s="50"/>
      <c r="O11" s="33"/>
      <c r="P11" s="33"/>
      <c r="Q11" s="49"/>
      <c r="R11" s="49"/>
      <c r="S11" s="49"/>
      <c r="T11" s="51"/>
      <c r="U11" s="49"/>
      <c r="V11" s="50"/>
      <c r="W11" s="46"/>
      <c r="X11" s="46"/>
      <c r="Y11" s="46"/>
      <c r="Z11" s="46"/>
      <c r="AA11" s="46"/>
      <c r="AB11" s="52"/>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3"/>
      <c r="CF11" s="33"/>
      <c r="CG11" s="33"/>
      <c r="CH11" s="33"/>
      <c r="CI11" s="33"/>
      <c r="CJ11" s="33"/>
      <c r="CK11" s="33"/>
      <c r="CL11" s="33"/>
      <c r="CM11" s="33"/>
      <c r="CN11" s="33"/>
      <c r="CO11" s="34"/>
      <c r="CP11" s="34"/>
      <c r="CQ11" s="34"/>
    </row>
    <row r="12" ht="30.0" customHeight="1">
      <c r="A12" s="1" t="s">
        <v>28</v>
      </c>
      <c r="B12" s="53" t="s">
        <v>29</v>
      </c>
      <c r="C12" s="54"/>
      <c r="D12" s="55"/>
      <c r="E12" s="56"/>
      <c r="F12" s="56"/>
      <c r="G12" s="39"/>
      <c r="H12" s="39" t="str">
        <f>IF(OR(ISBLANK('Casa Taller Muso'!task_start),ISBLANK('Casa Taller Muso'!task_end)),"",'Casa Taller Muso'!task_end-'Casa Taller Muso'!task_start+1)</f>
        <v/>
      </c>
      <c r="I12" s="33"/>
      <c r="J12" s="33"/>
      <c r="K12" s="33"/>
      <c r="L12" s="33"/>
      <c r="M12" s="33"/>
      <c r="N12" s="33"/>
      <c r="O12" s="49"/>
      <c r="P12" s="49"/>
      <c r="Q12" s="49"/>
      <c r="R12" s="49"/>
      <c r="S12" s="49"/>
      <c r="T12" s="40"/>
      <c r="U12" s="40"/>
      <c r="V12" s="40"/>
      <c r="W12" s="57"/>
      <c r="X12" s="57"/>
      <c r="Y12" s="49"/>
      <c r="Z12" s="49"/>
      <c r="AA12" s="57"/>
      <c r="AB12" s="40"/>
      <c r="AC12" s="40"/>
      <c r="AD12" s="40"/>
      <c r="AE12" s="40"/>
      <c r="AF12" s="40"/>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3"/>
      <c r="BG12" s="33"/>
      <c r="BH12" s="33"/>
      <c r="BI12" s="33"/>
      <c r="BJ12" s="33"/>
      <c r="BK12" s="33"/>
      <c r="BL12" s="33"/>
      <c r="BM12" s="33"/>
      <c r="BN12" s="33"/>
      <c r="BO12" s="33"/>
      <c r="BP12" s="33"/>
      <c r="BQ12" s="33"/>
      <c r="BR12" s="33"/>
      <c r="BS12" s="33"/>
      <c r="BT12" s="33"/>
      <c r="BU12" s="33"/>
      <c r="BV12" s="33"/>
      <c r="BW12" s="33"/>
      <c r="BX12" s="33"/>
      <c r="BY12" s="33"/>
      <c r="BZ12" s="33"/>
      <c r="CA12" s="33"/>
      <c r="CB12" s="33"/>
      <c r="CC12" s="33"/>
      <c r="CD12" s="33"/>
      <c r="CE12" s="33"/>
      <c r="CF12" s="33"/>
      <c r="CG12" s="33"/>
      <c r="CH12" s="33"/>
      <c r="CI12" s="33"/>
      <c r="CJ12" s="33"/>
      <c r="CK12" s="33"/>
      <c r="CL12" s="33"/>
      <c r="CM12" s="33"/>
      <c r="CN12" s="33"/>
      <c r="CO12" s="34"/>
      <c r="CP12" s="34"/>
      <c r="CQ12" s="34"/>
    </row>
    <row r="13" ht="30.0" customHeight="1">
      <c r="A13" s="1"/>
      <c r="B13" s="58" t="s">
        <v>30</v>
      </c>
      <c r="C13" s="59" t="s">
        <v>27</v>
      </c>
      <c r="D13" s="60">
        <v>1.0</v>
      </c>
      <c r="E13" s="61">
        <f>F11+1</f>
        <v>46123</v>
      </c>
      <c r="F13" s="61">
        <f t="shared" ref="F13:F15" si="4">E13+4</f>
        <v>46127</v>
      </c>
      <c r="G13" s="39"/>
      <c r="H13" s="39" t="str">
        <f>IF(OR(ISBLANK('Casa Taller Muso'!task_start),ISBLANK('Casa Taller Muso'!task_end)),"",'Casa Taller Muso'!task_end-'Casa Taller Muso'!task_start+1)</f>
        <v/>
      </c>
      <c r="I13" s="33"/>
      <c r="J13" s="33"/>
      <c r="K13" s="33"/>
      <c r="L13" s="33"/>
      <c r="M13" s="33"/>
      <c r="N13" s="33"/>
      <c r="O13" s="33"/>
      <c r="P13" s="33"/>
      <c r="Q13" s="33"/>
      <c r="R13" s="33"/>
      <c r="S13" s="45"/>
      <c r="T13" s="33"/>
      <c r="U13" s="33"/>
      <c r="V13" s="33"/>
      <c r="W13" s="33"/>
      <c r="X13" s="33"/>
      <c r="Y13" s="48"/>
      <c r="Z13" s="62"/>
      <c r="AA13" s="63"/>
      <c r="AB13" s="64"/>
      <c r="AC13" s="64"/>
      <c r="AD13" s="64"/>
      <c r="AE13" s="64"/>
      <c r="AF13" s="46"/>
      <c r="AG13" s="48"/>
      <c r="AH13" s="40"/>
      <c r="AI13" s="40"/>
      <c r="AJ13" s="40"/>
      <c r="AK13" s="40"/>
      <c r="AL13" s="40"/>
      <c r="AM13" s="33"/>
      <c r="AN13" s="33"/>
      <c r="AO13" s="33"/>
      <c r="AP13" s="33"/>
      <c r="AQ13" s="33"/>
      <c r="AR13" s="33"/>
      <c r="AS13" s="33"/>
      <c r="AT13" s="33"/>
      <c r="AU13" s="33"/>
      <c r="AV13" s="33"/>
      <c r="AW13" s="33"/>
      <c r="AX13" s="33"/>
      <c r="AY13" s="33"/>
      <c r="AZ13" s="33"/>
      <c r="BA13" s="33"/>
      <c r="BB13" s="33"/>
      <c r="BC13" s="33"/>
      <c r="BD13" s="33"/>
      <c r="BE13" s="33"/>
      <c r="BF13" s="33"/>
      <c r="BG13" s="33"/>
      <c r="BH13" s="33"/>
      <c r="BI13" s="33"/>
      <c r="BJ13" s="33"/>
      <c r="BK13" s="33"/>
      <c r="BL13" s="33"/>
      <c r="BM13" s="33"/>
      <c r="BN13" s="33"/>
      <c r="BO13" s="33"/>
      <c r="BP13" s="33"/>
      <c r="BQ13" s="33"/>
      <c r="BR13" s="33"/>
      <c r="BS13" s="33"/>
      <c r="BT13" s="33"/>
      <c r="BU13" s="33"/>
      <c r="BV13" s="33"/>
      <c r="BW13" s="33"/>
      <c r="BX13" s="33"/>
      <c r="BY13" s="33"/>
      <c r="BZ13" s="33"/>
      <c r="CA13" s="33"/>
      <c r="CB13" s="33"/>
      <c r="CC13" s="33"/>
      <c r="CD13" s="33"/>
      <c r="CE13" s="33"/>
      <c r="CF13" s="33"/>
      <c r="CG13" s="33"/>
      <c r="CH13" s="33"/>
      <c r="CI13" s="33"/>
      <c r="CJ13" s="33"/>
      <c r="CK13" s="33"/>
      <c r="CL13" s="33"/>
      <c r="CM13" s="33"/>
      <c r="CN13" s="33"/>
      <c r="CO13" s="34"/>
      <c r="CP13" s="34"/>
      <c r="CQ13" s="34"/>
    </row>
    <row r="14" ht="30.0" customHeight="1">
      <c r="A14" s="8"/>
      <c r="B14" s="58" t="s">
        <v>31</v>
      </c>
      <c r="C14" s="59" t="s">
        <v>25</v>
      </c>
      <c r="D14" s="60">
        <v>1.0</v>
      </c>
      <c r="E14" s="61">
        <f t="shared" ref="E14:E15" si="5">F13+1</f>
        <v>46128</v>
      </c>
      <c r="F14" s="61">
        <f t="shared" si="4"/>
        <v>46132</v>
      </c>
      <c r="G14" s="39"/>
      <c r="H14" s="39" t="str">
        <f>IF(OR(ISBLANK('Casa Taller Muso'!task_start),ISBLANK('Casa Taller Muso'!task_end)),"",'Casa Taller Muso'!task_end-'Casa Taller Muso'!task_start+1)</f>
        <v/>
      </c>
      <c r="I14" s="33"/>
      <c r="J14" s="33"/>
      <c r="K14" s="33"/>
      <c r="L14" s="33"/>
      <c r="M14" s="33"/>
      <c r="N14" s="33"/>
      <c r="O14" s="33"/>
      <c r="P14" s="33"/>
      <c r="Q14" s="33"/>
      <c r="R14" s="33"/>
      <c r="S14" s="33"/>
      <c r="T14" s="49"/>
      <c r="U14" s="65"/>
      <c r="V14" s="33"/>
      <c r="W14" s="33"/>
      <c r="X14" s="33"/>
      <c r="Y14" s="33"/>
      <c r="Z14" s="33"/>
      <c r="AA14" s="49"/>
      <c r="AB14" s="49"/>
      <c r="AC14" s="49"/>
      <c r="AD14" s="50"/>
      <c r="AE14" s="66"/>
      <c r="AF14" s="67"/>
      <c r="AG14" s="64"/>
      <c r="AH14" s="64"/>
      <c r="AI14" s="64"/>
      <c r="AJ14" s="64"/>
      <c r="AK14" s="64"/>
      <c r="AL14" s="68"/>
      <c r="AM14" s="68"/>
      <c r="AN14" s="68"/>
      <c r="AO14" s="68"/>
      <c r="AP14" s="68"/>
      <c r="AQ14" s="40"/>
      <c r="AR14" s="33"/>
      <c r="AS14" s="33"/>
      <c r="AT14" s="33"/>
      <c r="AU14" s="33"/>
      <c r="AV14" s="33"/>
      <c r="AW14" s="33"/>
      <c r="AX14" s="33"/>
      <c r="AY14" s="33"/>
      <c r="AZ14" s="33"/>
      <c r="BA14" s="33"/>
      <c r="BB14" s="33"/>
      <c r="BC14" s="33"/>
      <c r="BD14" s="33"/>
      <c r="BE14" s="33"/>
      <c r="BF14" s="33"/>
      <c r="BG14" s="33"/>
      <c r="BH14" s="33"/>
      <c r="BI14" s="33"/>
      <c r="BJ14" s="33"/>
      <c r="BK14" s="33"/>
      <c r="BL14" s="33"/>
      <c r="BM14" s="33"/>
      <c r="BN14" s="33"/>
      <c r="BO14" s="33"/>
      <c r="BP14" s="33"/>
      <c r="BQ14" s="33"/>
      <c r="BR14" s="33"/>
      <c r="BS14" s="33"/>
      <c r="BT14" s="33"/>
      <c r="BU14" s="33"/>
      <c r="BV14" s="33"/>
      <c r="BW14" s="33"/>
      <c r="BX14" s="33"/>
      <c r="BY14" s="33"/>
      <c r="BZ14" s="33"/>
      <c r="CA14" s="33"/>
      <c r="CB14" s="33"/>
      <c r="CC14" s="33"/>
      <c r="CD14" s="33"/>
      <c r="CE14" s="33"/>
      <c r="CF14" s="33"/>
      <c r="CG14" s="33"/>
      <c r="CH14" s="33"/>
      <c r="CI14" s="33"/>
      <c r="CJ14" s="33"/>
      <c r="CK14" s="33"/>
      <c r="CL14" s="33"/>
      <c r="CM14" s="33"/>
      <c r="CN14" s="33"/>
      <c r="CO14" s="34"/>
      <c r="CP14" s="34"/>
      <c r="CQ14" s="34"/>
    </row>
    <row r="15" ht="30.0" customHeight="1">
      <c r="A15" s="8"/>
      <c r="B15" s="58" t="s">
        <v>32</v>
      </c>
      <c r="C15" s="59" t="s">
        <v>22</v>
      </c>
      <c r="D15" s="60">
        <v>0.8</v>
      </c>
      <c r="E15" s="61">
        <f t="shared" si="5"/>
        <v>46133</v>
      </c>
      <c r="F15" s="61">
        <f t="shared" si="4"/>
        <v>46137</v>
      </c>
      <c r="G15" s="39"/>
      <c r="H15" s="39" t="str">
        <f>IF(OR(ISBLANK('Casa Taller Muso'!task_start),ISBLANK('Casa Taller Muso'!task_end)),"",'Casa Taller Muso'!task_end-'Casa Taller Muso'!task_start+1)</f>
        <v/>
      </c>
      <c r="I15" s="33"/>
      <c r="J15" s="33"/>
      <c r="K15" s="33"/>
      <c r="L15" s="33"/>
      <c r="M15" s="33"/>
      <c r="N15" s="33"/>
      <c r="O15" s="33"/>
      <c r="P15" s="33"/>
      <c r="Q15" s="33"/>
      <c r="R15" s="33"/>
      <c r="S15" s="33"/>
      <c r="T15" s="33"/>
      <c r="U15" s="33"/>
      <c r="V15" s="49"/>
      <c r="W15" s="49"/>
      <c r="X15" s="49"/>
      <c r="Y15" s="33"/>
      <c r="Z15" s="33"/>
      <c r="AA15" s="33"/>
      <c r="AB15" s="33"/>
      <c r="AC15" s="33"/>
      <c r="AD15" s="33"/>
      <c r="AE15" s="49"/>
      <c r="AF15" s="49"/>
      <c r="AG15" s="49"/>
      <c r="AH15" s="49"/>
      <c r="AI15" s="66"/>
      <c r="AJ15" s="66"/>
      <c r="AK15" s="67"/>
      <c r="AL15" s="64"/>
      <c r="AM15" s="64"/>
      <c r="AN15" s="64"/>
      <c r="AO15" s="64"/>
      <c r="AP15" s="69"/>
      <c r="AQ15" s="70"/>
      <c r="AR15" s="71"/>
      <c r="AS15" s="71"/>
      <c r="AT15" s="71"/>
      <c r="AU15" s="71"/>
      <c r="AV15" s="33"/>
      <c r="AW15" s="33"/>
      <c r="AX15" s="33"/>
      <c r="AY15" s="33"/>
      <c r="AZ15" s="33"/>
      <c r="BA15" s="33"/>
      <c r="BB15" s="33"/>
      <c r="BC15" s="33"/>
      <c r="BD15" s="33"/>
      <c r="BE15" s="33"/>
      <c r="BF15" s="33"/>
      <c r="BG15" s="33"/>
      <c r="BH15" s="33"/>
      <c r="BI15" s="33"/>
      <c r="BJ15" s="33"/>
      <c r="BK15" s="33"/>
      <c r="BL15" s="33"/>
      <c r="BM15" s="33"/>
      <c r="BN15" s="33"/>
      <c r="BO15" s="33"/>
      <c r="BP15" s="33"/>
      <c r="BQ15" s="33"/>
      <c r="BR15" s="33"/>
      <c r="BS15" s="33"/>
      <c r="BT15" s="33"/>
      <c r="BU15" s="33"/>
      <c r="BV15" s="33"/>
      <c r="BW15" s="33"/>
      <c r="BX15" s="33"/>
      <c r="BY15" s="33"/>
      <c r="BZ15" s="33"/>
      <c r="CA15" s="33"/>
      <c r="CB15" s="33"/>
      <c r="CC15" s="33"/>
      <c r="CD15" s="33"/>
      <c r="CE15" s="33"/>
      <c r="CF15" s="33"/>
      <c r="CG15" s="33"/>
      <c r="CH15" s="33"/>
      <c r="CI15" s="33"/>
      <c r="CJ15" s="33"/>
      <c r="CK15" s="33"/>
      <c r="CL15" s="33"/>
      <c r="CM15" s="33"/>
      <c r="CN15" s="33"/>
      <c r="CO15" s="34"/>
      <c r="CP15" s="34"/>
      <c r="CQ15" s="34"/>
    </row>
    <row r="16" ht="30.0" customHeight="1">
      <c r="A16" s="8" t="s">
        <v>33</v>
      </c>
      <c r="B16" s="72" t="s">
        <v>34</v>
      </c>
      <c r="C16" s="73"/>
      <c r="D16" s="74"/>
      <c r="E16" s="75"/>
      <c r="F16" s="75"/>
      <c r="G16" s="39"/>
      <c r="H16" s="39" t="str">
        <f>IF(OR(ISBLANK('Casa Taller Muso'!task_start),ISBLANK('Casa Taller Muso'!task_end)),"",'Casa Taller Muso'!task_end-'Casa Taller Muso'!task_start+1)</f>
        <v/>
      </c>
      <c r="I16" s="33"/>
      <c r="J16" s="33"/>
      <c r="K16" s="33"/>
      <c r="L16" s="33"/>
      <c r="M16" s="33"/>
      <c r="N16" s="33"/>
      <c r="O16" s="33"/>
      <c r="P16" s="33"/>
      <c r="Q16" s="33"/>
      <c r="R16" s="33"/>
      <c r="S16" s="33"/>
      <c r="T16" s="33"/>
      <c r="U16" s="33"/>
      <c r="V16" s="33"/>
      <c r="W16" s="33"/>
      <c r="X16" s="33"/>
      <c r="Y16" s="33"/>
      <c r="Z16" s="33"/>
      <c r="AA16" s="49"/>
      <c r="AB16" s="49"/>
      <c r="AC16" s="49"/>
      <c r="AD16" s="49"/>
      <c r="AE16" s="33"/>
      <c r="AF16" s="40"/>
      <c r="AG16" s="40"/>
      <c r="AH16" s="40"/>
      <c r="AI16" s="40"/>
      <c r="AJ16" s="40"/>
      <c r="AK16" s="40"/>
      <c r="AL16" s="49"/>
      <c r="AM16" s="49"/>
      <c r="AN16" s="49"/>
      <c r="AO16" s="49"/>
      <c r="AP16" s="49"/>
      <c r="AQ16" s="49"/>
      <c r="AR16" s="68"/>
      <c r="AS16" s="68"/>
      <c r="AT16" s="68"/>
      <c r="AU16" s="71"/>
      <c r="AV16" s="71"/>
      <c r="AW16" s="33"/>
      <c r="AX16" s="33"/>
      <c r="AY16" s="33"/>
      <c r="AZ16" s="33"/>
      <c r="BA16" s="33"/>
      <c r="BB16" s="33"/>
      <c r="BC16" s="33"/>
      <c r="BD16" s="33"/>
      <c r="BE16" s="33"/>
      <c r="BF16" s="33"/>
      <c r="BG16" s="33"/>
      <c r="BH16" s="33"/>
      <c r="BI16" s="33"/>
      <c r="BJ16" s="33"/>
      <c r="BK16" s="33"/>
      <c r="BL16" s="33"/>
      <c r="BM16" s="33"/>
      <c r="BN16" s="33"/>
      <c r="BO16" s="33"/>
      <c r="BP16" s="33"/>
      <c r="BQ16" s="33"/>
      <c r="BR16" s="33"/>
      <c r="BS16" s="33"/>
      <c r="BT16" s="33"/>
      <c r="BU16" s="33"/>
      <c r="BV16" s="33"/>
      <c r="BW16" s="33"/>
      <c r="BX16" s="33"/>
      <c r="BY16" s="33"/>
      <c r="BZ16" s="33"/>
      <c r="CA16" s="33"/>
      <c r="CB16" s="33"/>
      <c r="CC16" s="33"/>
      <c r="CD16" s="33"/>
      <c r="CE16" s="33"/>
      <c r="CF16" s="33"/>
      <c r="CG16" s="33"/>
      <c r="CH16" s="33"/>
      <c r="CI16" s="33"/>
      <c r="CJ16" s="33"/>
      <c r="CK16" s="33"/>
      <c r="CL16" s="33"/>
      <c r="CM16" s="33"/>
      <c r="CN16" s="33"/>
      <c r="CO16" s="34"/>
      <c r="CP16" s="34"/>
      <c r="CQ16" s="34"/>
    </row>
    <row r="17" ht="30.0" customHeight="1">
      <c r="A17" s="8"/>
      <c r="B17" s="76" t="s">
        <v>35</v>
      </c>
      <c r="C17" s="77" t="s">
        <v>25</v>
      </c>
      <c r="D17" s="78">
        <v>1.0</v>
      </c>
      <c r="E17" s="79">
        <f>F15+2</f>
        <v>46139</v>
      </c>
      <c r="F17" s="79">
        <f>E17+2</f>
        <v>46141</v>
      </c>
      <c r="G17" s="39"/>
      <c r="H17" s="39" t="str">
        <f>IF(OR(ISBLANK('Casa Taller Muso'!task_start),ISBLANK('Casa Taller Muso'!task_end)),"",'Casa Taller Muso'!task_end-'Casa Taller Muso'!task_start+1)</f>
        <v/>
      </c>
      <c r="I17" s="33"/>
      <c r="J17" s="33"/>
      <c r="K17" s="33"/>
      <c r="L17" s="33"/>
      <c r="M17" s="33"/>
      <c r="N17" s="33"/>
      <c r="O17" s="33"/>
      <c r="P17" s="33"/>
      <c r="Q17" s="33"/>
      <c r="R17" s="33"/>
      <c r="S17" s="33"/>
      <c r="T17" s="33"/>
      <c r="U17" s="40"/>
      <c r="V17" s="33"/>
      <c r="W17" s="33"/>
      <c r="X17" s="33"/>
      <c r="Y17" s="33"/>
      <c r="Z17" s="33"/>
      <c r="AA17" s="33"/>
      <c r="AB17" s="33"/>
      <c r="AC17" s="33"/>
      <c r="AD17" s="33"/>
      <c r="AE17" s="33"/>
      <c r="AF17" s="33"/>
      <c r="AG17" s="33"/>
      <c r="AH17" s="33"/>
      <c r="AI17" s="33"/>
      <c r="AJ17" s="33"/>
      <c r="AK17" s="33"/>
      <c r="AL17" s="33"/>
      <c r="AM17" s="33"/>
      <c r="AN17" s="33"/>
      <c r="AO17" s="33"/>
      <c r="AP17" s="33"/>
      <c r="AQ17" s="45"/>
      <c r="AR17" s="46"/>
      <c r="AS17" s="46"/>
      <c r="AT17" s="46"/>
      <c r="AU17" s="48"/>
      <c r="AV17" s="40"/>
      <c r="AW17" s="40"/>
      <c r="AX17" s="40"/>
      <c r="AY17" s="40"/>
      <c r="AZ17" s="40"/>
      <c r="BA17" s="40"/>
      <c r="BB17" s="40"/>
      <c r="BC17" s="40"/>
      <c r="BD17" s="40"/>
      <c r="BE17" s="40"/>
      <c r="BF17" s="40"/>
      <c r="BG17" s="40"/>
      <c r="BH17" s="33"/>
      <c r="BI17" s="33"/>
      <c r="BJ17" s="33"/>
      <c r="BK17" s="33"/>
      <c r="BL17" s="33"/>
      <c r="BM17" s="33"/>
      <c r="BN17" s="33"/>
      <c r="BO17" s="33"/>
      <c r="BP17" s="33"/>
      <c r="BQ17" s="33"/>
      <c r="BR17" s="33"/>
      <c r="BS17" s="33"/>
      <c r="BT17" s="33"/>
      <c r="BU17" s="33"/>
      <c r="BV17" s="33"/>
      <c r="BW17" s="33"/>
      <c r="BX17" s="33"/>
      <c r="BY17" s="33"/>
      <c r="BZ17" s="33"/>
      <c r="CA17" s="33"/>
      <c r="CB17" s="33"/>
      <c r="CC17" s="33"/>
      <c r="CD17" s="33"/>
      <c r="CE17" s="33"/>
      <c r="CF17" s="33"/>
      <c r="CG17" s="33"/>
      <c r="CH17" s="33"/>
      <c r="CI17" s="33"/>
      <c r="CJ17" s="33"/>
      <c r="CK17" s="33"/>
      <c r="CL17" s="33"/>
      <c r="CM17" s="33"/>
      <c r="CN17" s="33"/>
      <c r="CO17" s="34"/>
      <c r="CP17" s="34"/>
      <c r="CQ17" s="34"/>
    </row>
    <row r="18" ht="30.0" customHeight="1">
      <c r="A18" s="8"/>
      <c r="B18" s="76" t="s">
        <v>36</v>
      </c>
      <c r="C18" s="77" t="s">
        <v>27</v>
      </c>
      <c r="D18" s="78">
        <v>0.4</v>
      </c>
      <c r="E18" s="79">
        <f>F17-1</f>
        <v>46140</v>
      </c>
      <c r="F18" s="79">
        <f>E18+14</f>
        <v>46154</v>
      </c>
      <c r="G18" s="39"/>
      <c r="H18" s="39" t="str">
        <f>IF(OR(ISBLANK('Casa Taller Muso'!task_start),ISBLANK('Casa Taller Muso'!task_end)),"",'Casa Taller Muso'!task_end-'Casa Taller Muso'!task_start+1)</f>
        <v/>
      </c>
      <c r="I18" s="33"/>
      <c r="J18" s="33"/>
      <c r="K18" s="33"/>
      <c r="L18" s="33"/>
      <c r="M18" s="33"/>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50"/>
      <c r="AS18" s="46"/>
      <c r="AT18" s="46"/>
      <c r="AU18" s="46"/>
      <c r="AV18" s="46"/>
      <c r="AW18" s="46"/>
      <c r="AX18" s="46"/>
      <c r="AY18" s="46"/>
      <c r="AZ18" s="80"/>
      <c r="BA18" s="80"/>
      <c r="BB18" s="80"/>
      <c r="BC18" s="80"/>
      <c r="BD18" s="80"/>
      <c r="BE18" s="80"/>
      <c r="BF18" s="80"/>
      <c r="BG18" s="80"/>
      <c r="BH18" s="48"/>
      <c r="BI18" s="40"/>
      <c r="BJ18" s="40"/>
      <c r="BK18" s="40"/>
      <c r="BL18" s="40"/>
      <c r="BM18" s="40"/>
      <c r="BN18" s="40"/>
      <c r="BO18" s="40"/>
      <c r="BP18" s="40"/>
      <c r="BQ18" s="40"/>
      <c r="BR18" s="33"/>
      <c r="BS18" s="33"/>
      <c r="BT18" s="33"/>
      <c r="BU18" s="33"/>
      <c r="BV18" s="33"/>
      <c r="BW18" s="33"/>
      <c r="BX18" s="33"/>
      <c r="BY18" s="33"/>
      <c r="BZ18" s="33"/>
      <c r="CA18" s="33"/>
      <c r="CB18" s="33"/>
      <c r="CC18" s="33"/>
      <c r="CD18" s="33"/>
      <c r="CE18" s="33"/>
      <c r="CF18" s="33"/>
      <c r="CG18" s="33"/>
      <c r="CH18" s="33"/>
      <c r="CI18" s="33"/>
      <c r="CJ18" s="33"/>
      <c r="CK18" s="33"/>
      <c r="CL18" s="33"/>
      <c r="CM18" s="33"/>
      <c r="CN18" s="33"/>
      <c r="CO18" s="34"/>
      <c r="CP18" s="34"/>
      <c r="CQ18" s="34"/>
    </row>
    <row r="19" ht="30.0" customHeight="1">
      <c r="A19" s="8"/>
      <c r="B19" s="76" t="s">
        <v>37</v>
      </c>
      <c r="C19" s="77" t="s">
        <v>25</v>
      </c>
      <c r="D19" s="78">
        <v>0.8</v>
      </c>
      <c r="E19" s="79">
        <f>F18</f>
        <v>46154</v>
      </c>
      <c r="F19" s="79">
        <f>E19+10</f>
        <v>46164</v>
      </c>
      <c r="G19" s="39"/>
      <c r="H19" s="39" t="str">
        <f>IF(OR(ISBLANK('Casa Taller Muso'!task_start),ISBLANK('Casa Taller Muso'!task_end)),"",'Casa Taller Muso'!task_end-'Casa Taller Muso'!task_start+1)</f>
        <v/>
      </c>
      <c r="I19" s="33"/>
      <c r="J19" s="33"/>
      <c r="K19" s="33"/>
      <c r="L19" s="33"/>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49"/>
      <c r="AM19" s="49"/>
      <c r="AN19" s="49"/>
      <c r="AO19" s="49"/>
      <c r="AP19" s="33"/>
      <c r="AQ19" s="71"/>
      <c r="AR19" s="71"/>
      <c r="AS19" s="66"/>
      <c r="AT19" s="66"/>
      <c r="AU19" s="66"/>
      <c r="AV19" s="66"/>
      <c r="AW19" s="66"/>
      <c r="AX19" s="66"/>
      <c r="AY19" s="66"/>
      <c r="AZ19" s="66"/>
      <c r="BA19" s="66"/>
      <c r="BB19" s="66"/>
      <c r="BC19" s="66"/>
      <c r="BD19" s="66"/>
      <c r="BE19" s="66"/>
      <c r="BF19" s="67"/>
      <c r="BG19" s="46"/>
      <c r="BH19" s="46"/>
      <c r="BI19" s="46"/>
      <c r="BJ19" s="46"/>
      <c r="BK19" s="46"/>
      <c r="BL19" s="46"/>
      <c r="BM19" s="46"/>
      <c r="BN19" s="46"/>
      <c r="BO19" s="46"/>
      <c r="BP19" s="80"/>
      <c r="BQ19" s="80"/>
      <c r="BR19" s="52"/>
      <c r="BS19" s="33"/>
      <c r="BT19" s="40"/>
      <c r="BU19" s="40"/>
      <c r="BV19" s="40"/>
      <c r="BW19" s="40"/>
      <c r="BX19" s="40"/>
      <c r="BY19" s="40"/>
      <c r="BZ19" s="40"/>
      <c r="CA19" s="40"/>
      <c r="CB19" s="40"/>
      <c r="CC19" s="33"/>
      <c r="CD19" s="33"/>
      <c r="CE19" s="33"/>
      <c r="CF19" s="33"/>
      <c r="CG19" s="33"/>
      <c r="CH19" s="33"/>
      <c r="CI19" s="33"/>
      <c r="CJ19" s="33"/>
      <c r="CK19" s="33"/>
      <c r="CL19" s="33"/>
      <c r="CM19" s="33"/>
      <c r="CN19" s="33"/>
      <c r="CO19" s="34"/>
      <c r="CP19" s="34"/>
      <c r="CQ19" s="34"/>
    </row>
    <row r="20" ht="30.0" customHeight="1">
      <c r="A20" s="8"/>
      <c r="B20" s="76" t="s">
        <v>38</v>
      </c>
      <c r="C20" s="77" t="s">
        <v>22</v>
      </c>
      <c r="D20" s="78">
        <v>0.2</v>
      </c>
      <c r="E20" s="79">
        <f>F19+3</f>
        <v>46167</v>
      </c>
      <c r="F20" s="79">
        <f>E20+8</f>
        <v>46175</v>
      </c>
      <c r="G20" s="39"/>
      <c r="H20" s="39" t="str">
        <f>IF(OR(ISBLANK('Casa Taller Muso'!task_start),ISBLANK('Casa Taller Muso'!task_end)),"",'Casa Taller Muso'!task_end-'Casa Taller Muso'!task_start+1)</f>
        <v/>
      </c>
      <c r="I20" s="33"/>
      <c r="J20" s="33"/>
      <c r="K20" s="33"/>
      <c r="L20" s="33"/>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c r="AS20" s="33"/>
      <c r="AT20" s="33"/>
      <c r="AU20" s="33"/>
      <c r="AV20" s="33"/>
      <c r="AW20" s="33"/>
      <c r="AX20" s="33"/>
      <c r="AY20" s="49"/>
      <c r="AZ20" s="49"/>
      <c r="BA20" s="49"/>
      <c r="BB20" s="49"/>
      <c r="BC20" s="49"/>
      <c r="BD20" s="50"/>
      <c r="BE20" s="33"/>
      <c r="BF20" s="33"/>
      <c r="BG20" s="49"/>
      <c r="BH20" s="49"/>
      <c r="BI20" s="49"/>
      <c r="BJ20" s="49"/>
      <c r="BK20" s="49"/>
      <c r="BL20" s="49"/>
      <c r="BM20" s="49"/>
      <c r="BN20" s="49"/>
      <c r="BO20" s="49"/>
      <c r="BP20" s="49"/>
      <c r="BQ20" s="49"/>
      <c r="BR20" s="33"/>
      <c r="BS20" s="45"/>
      <c r="BT20" s="46"/>
      <c r="BU20" s="46"/>
      <c r="BV20" s="80"/>
      <c r="BW20" s="80"/>
      <c r="BX20" s="80"/>
      <c r="BY20" s="80"/>
      <c r="BZ20" s="80"/>
      <c r="CA20" s="80"/>
      <c r="CB20" s="80"/>
      <c r="CC20" s="48"/>
      <c r="CD20" s="40"/>
      <c r="CE20" s="40"/>
      <c r="CF20" s="40"/>
      <c r="CG20" s="33"/>
      <c r="CH20" s="33"/>
      <c r="CI20" s="33"/>
      <c r="CJ20" s="33"/>
      <c r="CK20" s="33"/>
      <c r="CL20" s="33"/>
      <c r="CM20" s="33"/>
      <c r="CN20" s="33"/>
      <c r="CO20" s="34"/>
      <c r="CP20" s="34"/>
      <c r="CQ20" s="34"/>
    </row>
    <row r="21" ht="30.0" customHeight="1">
      <c r="A21" s="8" t="s">
        <v>33</v>
      </c>
      <c r="B21" s="81" t="s">
        <v>39</v>
      </c>
      <c r="C21" s="82"/>
      <c r="D21" s="83"/>
      <c r="E21" s="84"/>
      <c r="F21" s="84"/>
      <c r="G21" s="39"/>
      <c r="H21" s="39" t="str">
        <f>IF(OR(ISBLANK('Casa Taller Muso'!task_start),ISBLANK('Casa Taller Muso'!task_end)),"",'Casa Taller Muso'!task_end-'Casa Taller Muso'!task_start+1)</f>
        <v/>
      </c>
      <c r="I21" s="33"/>
      <c r="J21" s="33"/>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c r="AU21" s="33"/>
      <c r="AV21" s="33"/>
      <c r="AW21" s="33"/>
      <c r="AX21" s="33"/>
      <c r="AY21" s="33"/>
      <c r="AZ21" s="33"/>
      <c r="BA21" s="33"/>
      <c r="BB21" s="33"/>
      <c r="BC21" s="33"/>
      <c r="BD21" s="33"/>
      <c r="BE21" s="57"/>
      <c r="BF21" s="57"/>
      <c r="BG21" s="57"/>
      <c r="BH21" s="57"/>
      <c r="BI21" s="57"/>
      <c r="BJ21" s="49"/>
      <c r="BK21" s="40"/>
      <c r="BL21" s="40"/>
      <c r="BM21" s="40"/>
      <c r="BN21" s="40"/>
      <c r="BO21" s="40"/>
      <c r="BP21" s="40"/>
      <c r="BQ21" s="33"/>
      <c r="BR21" s="33"/>
      <c r="BS21" s="33"/>
      <c r="BT21" s="57"/>
      <c r="BU21" s="57"/>
      <c r="BV21" s="57"/>
      <c r="BW21" s="57"/>
      <c r="BX21" s="49"/>
      <c r="BY21" s="49"/>
      <c r="BZ21" s="49"/>
      <c r="CA21" s="49"/>
      <c r="CB21" s="50"/>
      <c r="CC21" s="40"/>
      <c r="CD21" s="40"/>
      <c r="CE21" s="40"/>
      <c r="CF21" s="40"/>
      <c r="CG21" s="40"/>
      <c r="CH21" s="33"/>
      <c r="CI21" s="33"/>
      <c r="CJ21" s="33"/>
      <c r="CK21" s="33"/>
      <c r="CL21" s="33"/>
      <c r="CM21" s="33"/>
      <c r="CN21" s="33"/>
      <c r="CO21" s="34"/>
      <c r="CP21" s="34"/>
      <c r="CQ21" s="34"/>
    </row>
    <row r="22" ht="30.0" customHeight="1">
      <c r="A22" s="8"/>
      <c r="B22" s="85" t="s">
        <v>40</v>
      </c>
      <c r="C22" s="86" t="s">
        <v>22</v>
      </c>
      <c r="D22" s="87">
        <v>0.0</v>
      </c>
      <c r="E22" s="88">
        <f>F20+1</f>
        <v>46176</v>
      </c>
      <c r="F22" s="88">
        <f>E22+4</f>
        <v>46180</v>
      </c>
      <c r="G22" s="39"/>
      <c r="H22" s="39" t="str">
        <f>IF(OR(ISBLANK('Casa Taller Muso'!task_start),ISBLANK('Casa Taller Muso'!task_end)),"",'Casa Taller Muso'!task_end-'Casa Taller Muso'!task_start+1)</f>
        <v/>
      </c>
      <c r="I22" s="33"/>
      <c r="J22" s="33"/>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c r="AV22" s="33"/>
      <c r="AW22" s="33"/>
      <c r="AX22" s="33"/>
      <c r="AY22" s="33"/>
      <c r="AZ22" s="33"/>
      <c r="BA22" s="33"/>
      <c r="BB22" s="33"/>
      <c r="BC22" s="33"/>
      <c r="BD22" s="33"/>
      <c r="BE22" s="33"/>
      <c r="BF22" s="33"/>
      <c r="BG22" s="33"/>
      <c r="BH22" s="33"/>
      <c r="BI22" s="33"/>
      <c r="BJ22" s="45"/>
      <c r="BK22" s="33"/>
      <c r="BL22" s="33"/>
      <c r="BM22" s="33"/>
      <c r="BN22" s="33"/>
      <c r="BO22" s="33"/>
      <c r="BP22" s="33"/>
      <c r="BQ22" s="48"/>
      <c r="BR22" s="40"/>
      <c r="BS22" s="40"/>
      <c r="BT22" s="40"/>
      <c r="BU22" s="40"/>
      <c r="BV22" s="40"/>
      <c r="BW22" s="33"/>
      <c r="BX22" s="33"/>
      <c r="BY22" s="33"/>
      <c r="BZ22" s="33"/>
      <c r="CA22" s="33"/>
      <c r="CB22" s="45"/>
      <c r="CC22" s="80"/>
      <c r="CD22" s="80"/>
      <c r="CE22" s="80"/>
      <c r="CF22" s="80"/>
      <c r="CG22" s="80"/>
      <c r="CH22" s="48"/>
      <c r="CI22" s="40"/>
      <c r="CJ22" s="40"/>
      <c r="CK22" s="33"/>
      <c r="CL22" s="33"/>
      <c r="CM22" s="33"/>
      <c r="CN22" s="33"/>
      <c r="CO22" s="34"/>
      <c r="CP22" s="34"/>
      <c r="CQ22" s="34"/>
    </row>
    <row r="23" ht="30.0" customHeight="1">
      <c r="A23" s="8"/>
      <c r="B23" s="85" t="s">
        <v>41</v>
      </c>
      <c r="C23" s="86" t="s">
        <v>25</v>
      </c>
      <c r="D23" s="87">
        <v>0.0</v>
      </c>
      <c r="E23" s="88">
        <f>F22</f>
        <v>46180</v>
      </c>
      <c r="F23" s="88">
        <f t="shared" ref="F23:F24" si="6">E23+3</f>
        <v>46183</v>
      </c>
      <c r="G23" s="39"/>
      <c r="H23" s="39" t="str">
        <f>IF(OR(ISBLANK('Casa Taller Muso'!task_start),ISBLANK('Casa Taller Muso'!task_end)),"",'Casa Taller Muso'!task_end-'Casa Taller Muso'!task_start+1)</f>
        <v/>
      </c>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c r="AV23" s="33"/>
      <c r="AW23" s="33"/>
      <c r="AX23" s="33"/>
      <c r="AY23" s="33"/>
      <c r="AZ23" s="33"/>
      <c r="BA23" s="33"/>
      <c r="BB23" s="33"/>
      <c r="BC23" s="33"/>
      <c r="BD23" s="33"/>
      <c r="BE23" s="33"/>
      <c r="BF23" s="33"/>
      <c r="BG23" s="33"/>
      <c r="BH23" s="33"/>
      <c r="BI23" s="33"/>
      <c r="BJ23" s="33"/>
      <c r="BK23" s="49"/>
      <c r="BL23" s="49"/>
      <c r="BM23" s="49"/>
      <c r="BN23" s="49"/>
      <c r="BO23" s="49"/>
      <c r="BP23" s="50"/>
      <c r="BQ23" s="33"/>
      <c r="BR23" s="33"/>
      <c r="BS23" s="33"/>
      <c r="BT23" s="33"/>
      <c r="BU23" s="33"/>
      <c r="BV23" s="33"/>
      <c r="BW23" s="48"/>
      <c r="BX23" s="40"/>
      <c r="BY23" s="40"/>
      <c r="BZ23" s="40"/>
      <c r="CA23" s="40"/>
      <c r="CB23" s="40"/>
      <c r="CC23" s="49"/>
      <c r="CD23" s="49"/>
      <c r="CE23" s="49"/>
      <c r="CF23" s="50"/>
      <c r="CG23" s="80"/>
      <c r="CH23" s="80"/>
      <c r="CI23" s="80"/>
      <c r="CJ23" s="80"/>
      <c r="CK23" s="48"/>
      <c r="CL23" s="40"/>
      <c r="CM23" s="40"/>
      <c r="CN23" s="40"/>
      <c r="CO23" s="34"/>
      <c r="CP23" s="34"/>
      <c r="CQ23" s="34"/>
    </row>
    <row r="24" ht="30.0" customHeight="1">
      <c r="A24" s="8"/>
      <c r="B24" s="85" t="s">
        <v>42</v>
      </c>
      <c r="C24" s="86" t="s">
        <v>27</v>
      </c>
      <c r="D24" s="87">
        <v>0.0</v>
      </c>
      <c r="E24" s="88">
        <f>F23+1</f>
        <v>46184</v>
      </c>
      <c r="F24" s="88">
        <f t="shared" si="6"/>
        <v>46187</v>
      </c>
      <c r="G24" s="39"/>
      <c r="H24" s="39" t="str">
        <f>IF(OR(ISBLANK('Casa Taller Muso'!task_start),ISBLANK('Casa Taller Muso'!task_end)),"",'Casa Taller Muso'!task_end-'Casa Taller Muso'!task_start+1)</f>
        <v/>
      </c>
      <c r="I24" s="33"/>
      <c r="J24" s="33"/>
      <c r="K24" s="33"/>
      <c r="L24" s="33"/>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c r="BA24" s="33"/>
      <c r="BB24" s="33"/>
      <c r="BC24" s="33"/>
      <c r="BD24" s="33"/>
      <c r="BE24" s="33"/>
      <c r="BF24" s="33"/>
      <c r="BG24" s="33"/>
      <c r="BH24" s="49"/>
      <c r="BI24" s="49"/>
      <c r="BJ24" s="49"/>
      <c r="BK24" s="49"/>
      <c r="BL24" s="33"/>
      <c r="BM24" s="33"/>
      <c r="BN24" s="33"/>
      <c r="BO24" s="33"/>
      <c r="BP24" s="33"/>
      <c r="BQ24" s="49"/>
      <c r="BR24" s="49"/>
      <c r="BS24" s="49"/>
      <c r="BT24" s="49"/>
      <c r="BU24" s="49"/>
      <c r="BV24" s="33"/>
      <c r="BW24" s="33"/>
      <c r="BX24" s="33"/>
      <c r="BY24" s="33"/>
      <c r="BZ24" s="33"/>
      <c r="CA24" s="33"/>
      <c r="CB24" s="33"/>
      <c r="CC24" s="33"/>
      <c r="CD24" s="33"/>
      <c r="CE24" s="33"/>
      <c r="CF24" s="33"/>
      <c r="CG24" s="49"/>
      <c r="CH24" s="49"/>
      <c r="CI24" s="49"/>
      <c r="CJ24" s="50"/>
      <c r="CK24" s="80"/>
      <c r="CL24" s="80"/>
      <c r="CM24" s="80"/>
      <c r="CN24" s="80"/>
      <c r="CO24" s="34"/>
      <c r="CP24" s="34"/>
      <c r="CQ24" s="34"/>
    </row>
    <row r="25" ht="30.0" customHeight="1">
      <c r="A25" s="1" t="s">
        <v>43</v>
      </c>
      <c r="B25" s="89" t="s">
        <v>44</v>
      </c>
      <c r="C25" s="90"/>
      <c r="D25" s="91"/>
      <c r="E25" s="92"/>
      <c r="F25" s="93"/>
      <c r="G25" s="94"/>
      <c r="H25" s="94" t="str">
        <f>IF(OR(ISBLANK('Casa Taller Muso'!task_start),ISBLANK('Casa Taller Muso'!task_end)),"",'Casa Taller Muso'!task_end-'Casa Taller Muso'!task_start+1)</f>
        <v/>
      </c>
      <c r="I25" s="95"/>
      <c r="J25" s="95"/>
      <c r="K25" s="95"/>
      <c r="L25" s="95"/>
      <c r="M25" s="95"/>
      <c r="N25" s="95"/>
      <c r="O25" s="95"/>
      <c r="P25" s="95"/>
      <c r="Q25" s="95"/>
      <c r="R25" s="95"/>
      <c r="S25" s="95"/>
      <c r="T25" s="95"/>
      <c r="U25" s="95"/>
      <c r="V25" s="95"/>
      <c r="W25" s="95"/>
      <c r="X25" s="95"/>
      <c r="Y25" s="95"/>
      <c r="Z25" s="95"/>
      <c r="AA25" s="95"/>
      <c r="AB25" s="95"/>
      <c r="AC25" s="95"/>
      <c r="AD25" s="95"/>
      <c r="AE25" s="95"/>
      <c r="AF25" s="95"/>
      <c r="AG25" s="95"/>
      <c r="AH25" s="95"/>
      <c r="AI25" s="95"/>
      <c r="AJ25" s="95"/>
      <c r="AK25" s="95"/>
      <c r="AL25" s="95"/>
      <c r="AM25" s="95"/>
      <c r="AN25" s="95"/>
      <c r="AO25" s="95"/>
      <c r="AP25" s="95"/>
      <c r="AQ25" s="95"/>
      <c r="AR25" s="95"/>
      <c r="AS25" s="95"/>
      <c r="AT25" s="95"/>
      <c r="AU25" s="95"/>
      <c r="AV25" s="95"/>
      <c r="AW25" s="95"/>
      <c r="AX25" s="95"/>
      <c r="AY25" s="95"/>
      <c r="AZ25" s="95"/>
      <c r="BA25" s="95"/>
      <c r="BB25" s="95"/>
      <c r="BC25" s="95"/>
      <c r="BD25" s="95"/>
      <c r="BE25" s="95"/>
      <c r="BF25" s="95"/>
      <c r="BG25" s="95"/>
      <c r="BH25" s="95"/>
      <c r="BI25" s="95"/>
      <c r="BJ25" s="95"/>
      <c r="BK25" s="95"/>
      <c r="BL25" s="95"/>
      <c r="BM25" s="95"/>
      <c r="BN25" s="96"/>
      <c r="BO25" s="96"/>
      <c r="BP25" s="96"/>
      <c r="BQ25" s="96"/>
      <c r="BR25" s="96"/>
      <c r="BS25" s="96"/>
      <c r="BT25" s="95"/>
      <c r="BU25" s="95"/>
      <c r="BV25" s="95"/>
      <c r="BW25" s="96"/>
      <c r="BX25" s="96"/>
      <c r="BY25" s="96"/>
      <c r="BZ25" s="96"/>
      <c r="CA25" s="96"/>
      <c r="CB25" s="96"/>
      <c r="CC25" s="95"/>
      <c r="CD25" s="95"/>
      <c r="CE25" s="95"/>
      <c r="CF25" s="95"/>
      <c r="CG25" s="95"/>
      <c r="CH25" s="95"/>
      <c r="CI25" s="95"/>
      <c r="CJ25" s="95"/>
      <c r="CK25" s="96"/>
      <c r="CL25" s="96"/>
      <c r="CM25" s="96"/>
      <c r="CN25" s="96"/>
      <c r="CO25" s="97"/>
      <c r="CP25" s="97"/>
      <c r="CQ25" s="97"/>
    </row>
    <row r="26" ht="30.0" customHeight="1">
      <c r="A26" s="8"/>
      <c r="E26" s="10"/>
      <c r="G26" s="98"/>
    </row>
    <row r="27" ht="30.0" customHeight="1">
      <c r="A27" s="8"/>
      <c r="C27" s="99"/>
      <c r="E27" s="10"/>
      <c r="F27" s="100"/>
    </row>
    <row r="28" ht="30.0" customHeight="1">
      <c r="A28" s="8"/>
      <c r="C28" s="101"/>
      <c r="E28" s="10"/>
    </row>
    <row r="29" ht="30.0" customHeight="1">
      <c r="A29" s="8"/>
      <c r="E29" s="10"/>
    </row>
    <row r="30" ht="30.0" customHeight="1">
      <c r="A30" s="8"/>
      <c r="E30" s="10"/>
    </row>
    <row r="31" ht="30.0" customHeight="1">
      <c r="A31" s="8"/>
      <c r="E31" s="10"/>
    </row>
    <row r="32" ht="30.0" customHeight="1">
      <c r="A32" s="8"/>
      <c r="E32" s="10"/>
    </row>
    <row r="33" ht="30.0" customHeight="1">
      <c r="A33" s="8"/>
      <c r="E33" s="10"/>
    </row>
    <row r="34" ht="30.0" customHeight="1">
      <c r="A34" s="8"/>
      <c r="E34" s="10"/>
    </row>
    <row r="35" ht="30.0" customHeight="1">
      <c r="A35" s="8"/>
      <c r="E35" s="10"/>
    </row>
    <row r="36" ht="30.0" customHeight="1">
      <c r="A36" s="8"/>
      <c r="E36" s="10"/>
    </row>
    <row r="37" ht="30.0" customHeight="1">
      <c r="A37" s="8"/>
      <c r="E37" s="10"/>
    </row>
    <row r="38" ht="30.0" customHeight="1">
      <c r="A38" s="8"/>
      <c r="E38" s="10"/>
    </row>
    <row r="39" ht="30.0" customHeight="1">
      <c r="A39" s="8"/>
      <c r="E39" s="10"/>
    </row>
    <row r="40" ht="30.0" customHeight="1">
      <c r="A40" s="8"/>
      <c r="E40" s="10"/>
    </row>
    <row r="41" ht="30.0" customHeight="1">
      <c r="A41" s="8"/>
      <c r="E41" s="10"/>
    </row>
    <row r="42" ht="30.0" customHeight="1">
      <c r="A42" s="8"/>
      <c r="E42" s="10"/>
    </row>
    <row r="43" ht="30.0" customHeight="1">
      <c r="A43" s="8"/>
      <c r="E43" s="10"/>
    </row>
    <row r="44" ht="30.0" customHeight="1">
      <c r="A44" s="8"/>
      <c r="E44" s="10"/>
    </row>
    <row r="45" ht="30.0" customHeight="1">
      <c r="A45" s="8"/>
      <c r="E45" s="10"/>
    </row>
    <row r="46" ht="30.0" customHeight="1">
      <c r="A46" s="8"/>
      <c r="E46" s="10"/>
    </row>
    <row r="47" ht="30.0" customHeight="1">
      <c r="A47" s="8"/>
      <c r="E47" s="10"/>
    </row>
    <row r="48" ht="30.0" customHeight="1">
      <c r="A48" s="8"/>
      <c r="E48" s="10"/>
    </row>
    <row r="49" ht="30.0" customHeight="1">
      <c r="A49" s="8"/>
      <c r="E49" s="10"/>
    </row>
    <row r="50" ht="30.0" customHeight="1">
      <c r="A50" s="8"/>
      <c r="E50" s="10"/>
    </row>
    <row r="51" ht="30.0" customHeight="1">
      <c r="A51" s="8"/>
      <c r="E51" s="10"/>
    </row>
    <row r="52" ht="30.0" customHeight="1">
      <c r="A52" s="8"/>
      <c r="E52" s="10"/>
    </row>
    <row r="53" ht="30.0" customHeight="1">
      <c r="A53" s="8"/>
      <c r="E53" s="10"/>
    </row>
    <row r="54" ht="30.0" customHeight="1">
      <c r="A54" s="8"/>
      <c r="E54" s="10"/>
    </row>
    <row r="55" ht="30.0" customHeight="1">
      <c r="A55" s="8"/>
      <c r="E55" s="10"/>
    </row>
    <row r="56" ht="30.0" customHeight="1">
      <c r="A56" s="8"/>
      <c r="E56" s="10"/>
    </row>
    <row r="57" ht="30.0" customHeight="1">
      <c r="A57" s="8"/>
      <c r="E57" s="10"/>
    </row>
    <row r="58" ht="30.0" customHeight="1">
      <c r="A58" s="8"/>
      <c r="E58" s="10"/>
    </row>
    <row r="59" ht="30.0" customHeight="1">
      <c r="A59" s="8"/>
      <c r="E59" s="10"/>
    </row>
    <row r="60" ht="30.0" customHeight="1">
      <c r="A60" s="8"/>
      <c r="E60" s="10"/>
    </row>
    <row r="61" ht="30.0" customHeight="1">
      <c r="A61" s="8"/>
      <c r="E61" s="10"/>
    </row>
    <row r="62" ht="30.0" customHeight="1">
      <c r="A62" s="8"/>
      <c r="E62" s="10"/>
    </row>
    <row r="63" ht="30.0" customHeight="1">
      <c r="A63" s="8"/>
      <c r="E63" s="10"/>
    </row>
    <row r="64" ht="30.0" customHeight="1">
      <c r="A64" s="8"/>
      <c r="E64" s="10"/>
    </row>
    <row r="65" ht="30.0" customHeight="1">
      <c r="A65" s="8"/>
      <c r="E65" s="10"/>
    </row>
    <row r="66" ht="30.0" customHeight="1">
      <c r="A66" s="8"/>
      <c r="E66" s="10"/>
    </row>
    <row r="67" ht="30.0" customHeight="1">
      <c r="A67" s="8"/>
      <c r="E67" s="10"/>
    </row>
    <row r="68" ht="30.0" customHeight="1">
      <c r="A68" s="8"/>
      <c r="E68" s="10"/>
    </row>
    <row r="69" ht="30.0" customHeight="1">
      <c r="A69" s="8"/>
      <c r="E69" s="10"/>
    </row>
    <row r="70" ht="30.0" customHeight="1">
      <c r="A70" s="8"/>
      <c r="E70" s="10"/>
    </row>
    <row r="71" ht="30.0" customHeight="1">
      <c r="A71" s="8"/>
      <c r="E71" s="10"/>
    </row>
    <row r="72" ht="30.0" customHeight="1">
      <c r="A72" s="8"/>
      <c r="E72" s="10"/>
    </row>
    <row r="73" ht="30.0" customHeight="1">
      <c r="A73" s="8"/>
      <c r="E73" s="10"/>
    </row>
    <row r="74" ht="30.0" customHeight="1">
      <c r="A74" s="8"/>
      <c r="E74" s="10"/>
    </row>
    <row r="75" ht="30.0" customHeight="1">
      <c r="A75" s="8"/>
      <c r="E75" s="10"/>
    </row>
    <row r="76" ht="30.0" customHeight="1">
      <c r="A76" s="8"/>
      <c r="E76" s="10"/>
    </row>
    <row r="77" ht="30.0" customHeight="1">
      <c r="A77" s="8"/>
      <c r="E77" s="10"/>
    </row>
    <row r="78" ht="30.0" customHeight="1">
      <c r="A78" s="8"/>
      <c r="E78" s="10"/>
    </row>
    <row r="79" ht="30.0" customHeight="1">
      <c r="A79" s="8"/>
      <c r="E79" s="10"/>
    </row>
    <row r="80" ht="30.0" customHeight="1">
      <c r="A80" s="8"/>
      <c r="E80" s="10"/>
    </row>
    <row r="81" ht="30.0" customHeight="1">
      <c r="A81" s="8"/>
      <c r="E81" s="10"/>
    </row>
    <row r="82" ht="30.0" customHeight="1">
      <c r="A82" s="8"/>
      <c r="E82" s="10"/>
    </row>
    <row r="83" ht="30.0" customHeight="1">
      <c r="A83" s="8"/>
      <c r="E83" s="10"/>
    </row>
    <row r="84" ht="30.0" customHeight="1">
      <c r="A84" s="8"/>
      <c r="E84" s="10"/>
    </row>
    <row r="85" ht="30.0" customHeight="1">
      <c r="A85" s="8"/>
      <c r="E85" s="10"/>
    </row>
    <row r="86" ht="30.0" customHeight="1">
      <c r="A86" s="8"/>
      <c r="E86" s="10"/>
    </row>
    <row r="87" ht="30.0" customHeight="1">
      <c r="A87" s="8"/>
      <c r="E87" s="10"/>
    </row>
    <row r="88" ht="30.0" customHeight="1">
      <c r="A88" s="8"/>
      <c r="E88" s="10"/>
    </row>
    <row r="89" ht="30.0" customHeight="1">
      <c r="A89" s="8"/>
      <c r="E89" s="10"/>
    </row>
    <row r="90" ht="30.0" customHeight="1">
      <c r="A90" s="8"/>
      <c r="E90" s="10"/>
    </row>
    <row r="91" ht="30.0" customHeight="1">
      <c r="A91" s="8"/>
      <c r="E91" s="10"/>
    </row>
    <row r="92" ht="30.0" customHeight="1">
      <c r="A92" s="8"/>
      <c r="E92" s="10"/>
    </row>
    <row r="93" ht="30.0" customHeight="1">
      <c r="A93" s="8"/>
      <c r="E93" s="10"/>
    </row>
    <row r="94" ht="30.0" customHeight="1">
      <c r="A94" s="8"/>
      <c r="E94" s="10"/>
    </row>
    <row r="95" ht="30.0" customHeight="1">
      <c r="A95" s="8"/>
      <c r="E95" s="10"/>
    </row>
    <row r="96" ht="30.0" customHeight="1">
      <c r="A96" s="8"/>
      <c r="E96" s="10"/>
    </row>
    <row r="97" ht="30.0" customHeight="1">
      <c r="A97" s="8"/>
      <c r="E97" s="10"/>
    </row>
    <row r="98" ht="30.0" customHeight="1">
      <c r="A98" s="8"/>
      <c r="E98" s="10"/>
    </row>
    <row r="99" ht="30.0" customHeight="1">
      <c r="A99" s="8"/>
      <c r="E99" s="10"/>
    </row>
    <row r="100" ht="30.0" customHeight="1">
      <c r="A100" s="8"/>
      <c r="E100" s="10"/>
    </row>
    <row r="101" ht="30.0" customHeight="1">
      <c r="A101" s="8"/>
      <c r="E101" s="10"/>
    </row>
    <row r="102" ht="30.0" customHeight="1">
      <c r="A102" s="8"/>
      <c r="E102" s="10"/>
    </row>
    <row r="103" ht="30.0" customHeight="1">
      <c r="A103" s="8"/>
      <c r="E103" s="10"/>
    </row>
    <row r="104" ht="30.0" customHeight="1">
      <c r="A104" s="8"/>
      <c r="E104" s="10"/>
    </row>
    <row r="105" ht="30.0" customHeight="1">
      <c r="A105" s="8"/>
      <c r="E105" s="10"/>
    </row>
    <row r="106" ht="30.0" customHeight="1">
      <c r="A106" s="8"/>
      <c r="E106" s="10"/>
    </row>
    <row r="107" ht="30.0" customHeight="1">
      <c r="A107" s="8"/>
      <c r="E107" s="10"/>
    </row>
    <row r="108" ht="30.0" customHeight="1">
      <c r="A108" s="8"/>
      <c r="E108" s="10"/>
    </row>
    <row r="109" ht="30.0" customHeight="1">
      <c r="A109" s="8"/>
      <c r="E109" s="10"/>
    </row>
    <row r="110" ht="30.0" customHeight="1">
      <c r="A110" s="8"/>
      <c r="E110" s="10"/>
    </row>
    <row r="111" ht="30.0" customHeight="1">
      <c r="A111" s="8"/>
      <c r="E111" s="10"/>
    </row>
    <row r="112" ht="30.0" customHeight="1">
      <c r="A112" s="8"/>
      <c r="E112" s="10"/>
    </row>
    <row r="113" ht="30.0" customHeight="1">
      <c r="A113" s="8"/>
      <c r="E113" s="10"/>
    </row>
    <row r="114" ht="30.0" customHeight="1">
      <c r="A114" s="8"/>
      <c r="E114" s="10"/>
    </row>
    <row r="115" ht="30.0" customHeight="1">
      <c r="A115" s="8"/>
      <c r="E115" s="10"/>
    </row>
    <row r="116" ht="30.0" customHeight="1">
      <c r="A116" s="8"/>
      <c r="E116" s="10"/>
    </row>
    <row r="117" ht="30.0" customHeight="1">
      <c r="A117" s="8"/>
      <c r="E117" s="10"/>
    </row>
    <row r="118" ht="30.0" customHeight="1">
      <c r="A118" s="8"/>
      <c r="E118" s="10"/>
    </row>
    <row r="119" ht="30.0" customHeight="1">
      <c r="A119" s="8"/>
      <c r="E119" s="10"/>
    </row>
    <row r="120" ht="30.0" customHeight="1">
      <c r="A120" s="8"/>
      <c r="E120" s="10"/>
    </row>
    <row r="121" ht="30.0" customHeight="1">
      <c r="A121" s="8"/>
      <c r="E121" s="10"/>
    </row>
    <row r="122" ht="30.0" customHeight="1">
      <c r="A122" s="8"/>
      <c r="E122" s="10"/>
    </row>
    <row r="123" ht="30.0" customHeight="1">
      <c r="A123" s="8"/>
      <c r="E123" s="10"/>
    </row>
    <row r="124" ht="30.0" customHeight="1">
      <c r="A124" s="8"/>
      <c r="E124" s="10"/>
    </row>
    <row r="125" ht="30.0" customHeight="1">
      <c r="A125" s="8"/>
      <c r="E125" s="10"/>
    </row>
    <row r="126" ht="30.0" customHeight="1">
      <c r="A126" s="8"/>
      <c r="E126" s="10"/>
    </row>
    <row r="127" ht="30.0" customHeight="1">
      <c r="A127" s="8"/>
      <c r="E127" s="10"/>
    </row>
    <row r="128" ht="30.0" customHeight="1">
      <c r="A128" s="8"/>
      <c r="E128" s="10"/>
    </row>
    <row r="129" ht="30.0" customHeight="1">
      <c r="A129" s="8"/>
      <c r="E129" s="10"/>
    </row>
    <row r="130" ht="30.0" customHeight="1">
      <c r="A130" s="8"/>
      <c r="E130" s="10"/>
    </row>
    <row r="131" ht="30.0" customHeight="1">
      <c r="A131" s="8"/>
      <c r="E131" s="10"/>
    </row>
    <row r="132" ht="30.0" customHeight="1">
      <c r="A132" s="8"/>
      <c r="E132" s="10"/>
    </row>
    <row r="133" ht="30.0" customHeight="1">
      <c r="A133" s="8"/>
      <c r="E133" s="10"/>
    </row>
    <row r="134" ht="30.0" customHeight="1">
      <c r="A134" s="8"/>
      <c r="E134" s="10"/>
    </row>
    <row r="135" ht="30.0" customHeight="1">
      <c r="A135" s="8"/>
      <c r="E135" s="10"/>
    </row>
    <row r="136" ht="30.0" customHeight="1">
      <c r="A136" s="8"/>
      <c r="E136" s="10"/>
    </row>
    <row r="137" ht="30.0" customHeight="1">
      <c r="A137" s="8"/>
      <c r="E137" s="10"/>
    </row>
    <row r="138" ht="30.0" customHeight="1">
      <c r="A138" s="8"/>
      <c r="E138" s="10"/>
    </row>
    <row r="139" ht="30.0" customHeight="1">
      <c r="A139" s="8"/>
      <c r="E139" s="10"/>
    </row>
    <row r="140" ht="30.0" customHeight="1">
      <c r="A140" s="8"/>
      <c r="E140" s="10"/>
    </row>
    <row r="141" ht="30.0" customHeight="1">
      <c r="A141" s="8"/>
      <c r="E141" s="10"/>
    </row>
    <row r="142" ht="30.0" customHeight="1">
      <c r="A142" s="8"/>
      <c r="E142" s="10"/>
    </row>
    <row r="143" ht="30.0" customHeight="1">
      <c r="A143" s="8"/>
      <c r="E143" s="10"/>
    </row>
    <row r="144" ht="30.0" customHeight="1">
      <c r="A144" s="8"/>
      <c r="E144" s="10"/>
    </row>
    <row r="145" ht="30.0" customHeight="1">
      <c r="A145" s="8"/>
      <c r="E145" s="10"/>
    </row>
    <row r="146" ht="30.0" customHeight="1">
      <c r="A146" s="8"/>
      <c r="E146" s="10"/>
    </row>
    <row r="147" ht="30.0" customHeight="1">
      <c r="A147" s="8"/>
      <c r="E147" s="10"/>
    </row>
    <row r="148" ht="30.0" customHeight="1">
      <c r="A148" s="8"/>
      <c r="E148" s="10"/>
    </row>
    <row r="149" ht="30.0" customHeight="1">
      <c r="A149" s="8"/>
      <c r="E149" s="10"/>
    </row>
    <row r="150" ht="30.0" customHeight="1">
      <c r="A150" s="8"/>
      <c r="E150" s="10"/>
    </row>
    <row r="151" ht="30.0" customHeight="1">
      <c r="A151" s="8"/>
      <c r="E151" s="10"/>
    </row>
    <row r="152" ht="30.0" customHeight="1">
      <c r="A152" s="8"/>
      <c r="E152" s="10"/>
    </row>
    <row r="153" ht="30.0" customHeight="1">
      <c r="A153" s="8"/>
      <c r="E153" s="10"/>
    </row>
    <row r="154" ht="30.0" customHeight="1">
      <c r="A154" s="8"/>
      <c r="E154" s="10"/>
    </row>
    <row r="155" ht="30.0" customHeight="1">
      <c r="A155" s="8"/>
      <c r="E155" s="10"/>
    </row>
    <row r="156" ht="30.0" customHeight="1">
      <c r="A156" s="8"/>
      <c r="E156" s="10"/>
    </row>
    <row r="157" ht="30.0" customHeight="1">
      <c r="A157" s="8"/>
      <c r="E157" s="10"/>
    </row>
    <row r="158" ht="30.0" customHeight="1">
      <c r="A158" s="8"/>
      <c r="E158" s="10"/>
    </row>
    <row r="159" ht="30.0" customHeight="1">
      <c r="A159" s="8"/>
      <c r="E159" s="10"/>
    </row>
    <row r="160" ht="30.0" customHeight="1">
      <c r="A160" s="8"/>
      <c r="E160" s="10"/>
    </row>
    <row r="161" ht="30.0" customHeight="1">
      <c r="A161" s="8"/>
      <c r="E161" s="10"/>
    </row>
    <row r="162" ht="30.0" customHeight="1">
      <c r="A162" s="8"/>
      <c r="E162" s="10"/>
    </row>
    <row r="163" ht="30.0" customHeight="1">
      <c r="A163" s="8"/>
      <c r="E163" s="10"/>
    </row>
    <row r="164" ht="30.0" customHeight="1">
      <c r="A164" s="8"/>
      <c r="E164" s="10"/>
    </row>
    <row r="165" ht="30.0" customHeight="1">
      <c r="A165" s="8"/>
      <c r="E165" s="10"/>
    </row>
    <row r="166" ht="30.0" customHeight="1">
      <c r="A166" s="8"/>
      <c r="E166" s="10"/>
    </row>
    <row r="167" ht="30.0" customHeight="1">
      <c r="A167" s="8"/>
      <c r="E167" s="10"/>
    </row>
    <row r="168" ht="30.0" customHeight="1">
      <c r="A168" s="8"/>
      <c r="E168" s="10"/>
    </row>
    <row r="169" ht="30.0" customHeight="1">
      <c r="A169" s="8"/>
      <c r="E169" s="10"/>
    </row>
    <row r="170" ht="30.0" customHeight="1">
      <c r="A170" s="8"/>
      <c r="E170" s="10"/>
    </row>
    <row r="171" ht="30.0" customHeight="1">
      <c r="A171" s="8"/>
      <c r="E171" s="10"/>
    </row>
    <row r="172" ht="30.0" customHeight="1">
      <c r="A172" s="8"/>
      <c r="E172" s="10"/>
    </row>
    <row r="173" ht="30.0" customHeight="1">
      <c r="A173" s="8"/>
      <c r="E173" s="10"/>
    </row>
    <row r="174" ht="30.0" customHeight="1">
      <c r="A174" s="8"/>
      <c r="E174" s="10"/>
    </row>
    <row r="175" ht="30.0" customHeight="1">
      <c r="A175" s="8"/>
      <c r="E175" s="10"/>
    </row>
    <row r="176" ht="30.0" customHeight="1">
      <c r="A176" s="8"/>
      <c r="E176" s="10"/>
    </row>
    <row r="177" ht="30.0" customHeight="1">
      <c r="A177" s="8"/>
      <c r="E177" s="10"/>
    </row>
    <row r="178" ht="30.0" customHeight="1">
      <c r="A178" s="8"/>
      <c r="E178" s="10"/>
    </row>
    <row r="179" ht="30.0" customHeight="1">
      <c r="A179" s="8"/>
      <c r="E179" s="10"/>
    </row>
    <row r="180" ht="30.0" customHeight="1">
      <c r="A180" s="8"/>
      <c r="E180" s="10"/>
    </row>
    <row r="181" ht="30.0" customHeight="1">
      <c r="A181" s="8"/>
      <c r="E181" s="10"/>
    </row>
    <row r="182" ht="30.0" customHeight="1">
      <c r="A182" s="8"/>
      <c r="E182" s="10"/>
    </row>
    <row r="183" ht="30.0" customHeight="1">
      <c r="A183" s="8"/>
      <c r="E183" s="10"/>
    </row>
    <row r="184" ht="30.0" customHeight="1">
      <c r="A184" s="8"/>
      <c r="E184" s="10"/>
    </row>
    <row r="185" ht="30.0" customHeight="1">
      <c r="A185" s="8"/>
      <c r="E185" s="10"/>
    </row>
    <row r="186" ht="30.0" customHeight="1">
      <c r="A186" s="8"/>
      <c r="E186" s="10"/>
    </row>
    <row r="187" ht="30.0" customHeight="1">
      <c r="A187" s="8"/>
      <c r="E187" s="10"/>
    </row>
    <row r="188" ht="30.0" customHeight="1">
      <c r="A188" s="8"/>
      <c r="E188" s="10"/>
    </row>
    <row r="189" ht="30.0" customHeight="1">
      <c r="A189" s="8"/>
      <c r="E189" s="10"/>
    </row>
    <row r="190" ht="30.0" customHeight="1">
      <c r="A190" s="8"/>
      <c r="E190" s="10"/>
    </row>
    <row r="191" ht="30.0" customHeight="1">
      <c r="A191" s="8"/>
      <c r="E191" s="10"/>
    </row>
    <row r="192" ht="30.0" customHeight="1">
      <c r="A192" s="8"/>
      <c r="E192" s="10"/>
    </row>
    <row r="193" ht="30.0" customHeight="1">
      <c r="A193" s="8"/>
      <c r="E193" s="10"/>
    </row>
    <row r="194" ht="30.0" customHeight="1">
      <c r="A194" s="8"/>
      <c r="E194" s="10"/>
    </row>
    <row r="195" ht="30.0" customHeight="1">
      <c r="A195" s="8"/>
      <c r="E195" s="10"/>
    </row>
    <row r="196" ht="30.0" customHeight="1">
      <c r="A196" s="8"/>
      <c r="E196" s="10"/>
    </row>
    <row r="197" ht="30.0" customHeight="1">
      <c r="A197" s="8"/>
      <c r="E197" s="10"/>
    </row>
    <row r="198" ht="30.0" customHeight="1">
      <c r="A198" s="8"/>
      <c r="E198" s="10"/>
    </row>
    <row r="199" ht="30.0" customHeight="1">
      <c r="A199" s="8"/>
      <c r="E199" s="10"/>
    </row>
    <row r="200" ht="30.0" customHeight="1">
      <c r="A200" s="8"/>
      <c r="E200" s="10"/>
    </row>
    <row r="201" ht="30.0" customHeight="1">
      <c r="A201" s="8"/>
      <c r="E201" s="10"/>
    </row>
    <row r="202" ht="30.0" customHeight="1">
      <c r="A202" s="8"/>
      <c r="E202" s="10"/>
    </row>
    <row r="203" ht="30.0" customHeight="1">
      <c r="A203" s="8"/>
      <c r="E203" s="10"/>
    </row>
    <row r="204" ht="30.0" customHeight="1">
      <c r="A204" s="8"/>
      <c r="E204" s="10"/>
    </row>
    <row r="205" ht="30.0" customHeight="1">
      <c r="A205" s="8"/>
      <c r="E205" s="10"/>
    </row>
    <row r="206" ht="30.0" customHeight="1">
      <c r="A206" s="8"/>
      <c r="E206" s="10"/>
    </row>
    <row r="207" ht="30.0" customHeight="1">
      <c r="A207" s="8"/>
      <c r="E207" s="10"/>
    </row>
    <row r="208" ht="30.0" customHeight="1">
      <c r="A208" s="8"/>
      <c r="E208" s="10"/>
    </row>
    <row r="209" ht="30.0" customHeight="1">
      <c r="A209" s="8"/>
      <c r="E209" s="10"/>
    </row>
    <row r="210" ht="30.0" customHeight="1">
      <c r="A210" s="8"/>
      <c r="E210" s="10"/>
    </row>
    <row r="211" ht="30.0" customHeight="1">
      <c r="A211" s="8"/>
      <c r="E211" s="10"/>
    </row>
    <row r="212" ht="30.0" customHeight="1">
      <c r="A212" s="8"/>
      <c r="E212" s="10"/>
    </row>
    <row r="213" ht="30.0" customHeight="1">
      <c r="A213" s="8"/>
      <c r="E213" s="10"/>
    </row>
    <row r="214" ht="30.0" customHeight="1">
      <c r="A214" s="8"/>
      <c r="E214" s="10"/>
    </row>
    <row r="215" ht="30.0" customHeight="1">
      <c r="A215" s="8"/>
      <c r="E215" s="10"/>
    </row>
    <row r="216" ht="30.0" customHeight="1">
      <c r="A216" s="8"/>
      <c r="E216" s="10"/>
    </row>
    <row r="217" ht="30.0" customHeight="1">
      <c r="A217" s="8"/>
      <c r="E217" s="10"/>
    </row>
    <row r="218" ht="30.0" customHeight="1">
      <c r="A218" s="8"/>
      <c r="E218" s="10"/>
    </row>
    <row r="219" ht="30.0" customHeight="1">
      <c r="A219" s="8"/>
      <c r="E219" s="10"/>
    </row>
    <row r="220" ht="30.0" customHeight="1">
      <c r="A220" s="8"/>
      <c r="E220" s="10"/>
    </row>
    <row r="221" ht="30.0" customHeight="1">
      <c r="A221" s="8"/>
      <c r="E221" s="10"/>
    </row>
    <row r="222" ht="30.0" customHeight="1">
      <c r="A222" s="8"/>
      <c r="E222" s="10"/>
    </row>
    <row r="223" ht="30.0" customHeight="1">
      <c r="A223" s="8"/>
      <c r="E223" s="10"/>
    </row>
    <row r="224" ht="30.0" customHeight="1">
      <c r="A224" s="8"/>
      <c r="E224" s="10"/>
    </row>
    <row r="225" ht="30.0" customHeight="1">
      <c r="A225" s="8"/>
      <c r="E225" s="10"/>
    </row>
    <row r="226" ht="30.0" customHeight="1">
      <c r="A226" s="8"/>
      <c r="E226" s="10"/>
    </row>
    <row r="227" ht="30.0" customHeight="1">
      <c r="A227" s="8"/>
      <c r="E227" s="10"/>
    </row>
    <row r="228" ht="30.0" customHeight="1">
      <c r="A228" s="8"/>
      <c r="E228" s="10"/>
    </row>
    <row r="229" ht="30.0" customHeight="1">
      <c r="A229" s="8"/>
      <c r="E229" s="10"/>
    </row>
    <row r="230" ht="30.0" customHeight="1">
      <c r="A230" s="8"/>
      <c r="E230" s="10"/>
    </row>
    <row r="231" ht="30.0" customHeight="1">
      <c r="A231" s="8"/>
      <c r="E231" s="10"/>
    </row>
    <row r="232" ht="30.0" customHeight="1">
      <c r="A232" s="8"/>
      <c r="E232" s="10"/>
    </row>
    <row r="233" ht="30.0" customHeight="1">
      <c r="A233" s="8"/>
      <c r="E233" s="10"/>
    </row>
    <row r="234" ht="30.0" customHeight="1">
      <c r="A234" s="8"/>
      <c r="E234" s="10"/>
    </row>
    <row r="235" ht="30.0" customHeight="1">
      <c r="A235" s="8"/>
      <c r="E235" s="10"/>
    </row>
    <row r="236" ht="30.0" customHeight="1">
      <c r="A236" s="8"/>
      <c r="E236" s="10"/>
    </row>
    <row r="237" ht="30.0" customHeight="1">
      <c r="A237" s="8"/>
      <c r="E237" s="10"/>
    </row>
    <row r="238" ht="30.0" customHeight="1">
      <c r="A238" s="8"/>
      <c r="E238" s="10"/>
    </row>
    <row r="239" ht="30.0" customHeight="1">
      <c r="A239" s="8"/>
      <c r="E239" s="10"/>
    </row>
    <row r="240" ht="30.0" customHeight="1">
      <c r="A240" s="8"/>
      <c r="E240" s="10"/>
    </row>
    <row r="241" ht="30.0" customHeight="1">
      <c r="A241" s="8"/>
      <c r="E241" s="10"/>
    </row>
    <row r="242" ht="30.0" customHeight="1">
      <c r="A242" s="8"/>
      <c r="E242" s="10"/>
    </row>
    <row r="243" ht="30.0" customHeight="1">
      <c r="A243" s="8"/>
      <c r="E243" s="10"/>
    </row>
    <row r="244" ht="30.0" customHeight="1">
      <c r="A244" s="8"/>
      <c r="E244" s="10"/>
    </row>
    <row r="245" ht="30.0" customHeight="1">
      <c r="A245" s="8"/>
      <c r="E245" s="10"/>
    </row>
    <row r="246" ht="30.0" customHeight="1">
      <c r="A246" s="8"/>
      <c r="E246" s="10"/>
    </row>
    <row r="247" ht="30.0" customHeight="1">
      <c r="A247" s="8"/>
      <c r="E247" s="10"/>
    </row>
    <row r="248" ht="30.0" customHeight="1">
      <c r="A248" s="8"/>
      <c r="E248" s="10"/>
    </row>
    <row r="249" ht="30.0" customHeight="1">
      <c r="A249" s="8"/>
      <c r="E249" s="10"/>
    </row>
    <row r="250" ht="30.0" customHeight="1">
      <c r="A250" s="8"/>
      <c r="E250" s="10"/>
    </row>
    <row r="251" ht="30.0" customHeight="1">
      <c r="A251" s="8"/>
      <c r="E251" s="10"/>
    </row>
    <row r="252" ht="30.0" customHeight="1">
      <c r="A252" s="8"/>
      <c r="E252" s="10"/>
    </row>
    <row r="253" ht="30.0" customHeight="1">
      <c r="A253" s="8"/>
      <c r="E253" s="10"/>
    </row>
    <row r="254" ht="30.0" customHeight="1">
      <c r="A254" s="8"/>
      <c r="E254" s="10"/>
    </row>
    <row r="255" ht="30.0" customHeight="1">
      <c r="A255" s="8"/>
      <c r="E255" s="10"/>
    </row>
    <row r="256" ht="30.0" customHeight="1">
      <c r="A256" s="8"/>
      <c r="E256" s="10"/>
    </row>
    <row r="257" ht="30.0" customHeight="1">
      <c r="A257" s="8"/>
      <c r="E257" s="10"/>
    </row>
    <row r="258" ht="30.0" customHeight="1">
      <c r="A258" s="8"/>
      <c r="E258" s="10"/>
    </row>
    <row r="259" ht="30.0" customHeight="1">
      <c r="A259" s="8"/>
      <c r="E259" s="10"/>
    </row>
    <row r="260" ht="30.0" customHeight="1">
      <c r="A260" s="8"/>
      <c r="E260" s="10"/>
    </row>
    <row r="261" ht="30.0" customHeight="1">
      <c r="A261" s="8"/>
      <c r="E261" s="10"/>
    </row>
    <row r="262" ht="30.0" customHeight="1">
      <c r="A262" s="8"/>
      <c r="E262" s="10"/>
    </row>
    <row r="263" ht="30.0" customHeight="1">
      <c r="A263" s="8"/>
      <c r="E263" s="10"/>
    </row>
    <row r="264" ht="30.0" customHeight="1">
      <c r="A264" s="8"/>
      <c r="E264" s="10"/>
    </row>
    <row r="265" ht="30.0" customHeight="1">
      <c r="A265" s="8"/>
      <c r="E265" s="10"/>
    </row>
    <row r="266" ht="30.0" customHeight="1">
      <c r="A266" s="8"/>
      <c r="E266" s="10"/>
    </row>
    <row r="267" ht="30.0" customHeight="1">
      <c r="A267" s="8"/>
      <c r="E267" s="10"/>
    </row>
    <row r="268" ht="30.0" customHeight="1">
      <c r="A268" s="8"/>
      <c r="E268" s="10"/>
    </row>
    <row r="269" ht="30.0" customHeight="1">
      <c r="A269" s="8"/>
      <c r="E269" s="10"/>
    </row>
    <row r="270" ht="30.0" customHeight="1">
      <c r="A270" s="8"/>
      <c r="E270" s="10"/>
    </row>
    <row r="271" ht="30.0" customHeight="1">
      <c r="A271" s="8"/>
      <c r="E271" s="10"/>
    </row>
    <row r="272" ht="30.0" customHeight="1">
      <c r="A272" s="8"/>
      <c r="E272" s="10"/>
    </row>
    <row r="273" ht="30.0" customHeight="1">
      <c r="A273" s="8"/>
      <c r="E273" s="10"/>
    </row>
    <row r="274" ht="30.0" customHeight="1">
      <c r="A274" s="8"/>
      <c r="E274" s="10"/>
    </row>
    <row r="275" ht="30.0" customHeight="1">
      <c r="A275" s="8"/>
      <c r="E275" s="10"/>
    </row>
    <row r="276" ht="30.0" customHeight="1">
      <c r="A276" s="8"/>
      <c r="E276" s="10"/>
    </row>
    <row r="277" ht="30.0" customHeight="1">
      <c r="A277" s="8"/>
      <c r="E277" s="10"/>
    </row>
    <row r="278" ht="30.0" customHeight="1">
      <c r="A278" s="8"/>
      <c r="E278" s="10"/>
    </row>
    <row r="279" ht="30.0" customHeight="1">
      <c r="A279" s="8"/>
      <c r="E279" s="10"/>
    </row>
    <row r="280" ht="30.0" customHeight="1">
      <c r="A280" s="8"/>
      <c r="E280" s="10"/>
    </row>
    <row r="281" ht="30.0" customHeight="1">
      <c r="A281" s="8"/>
      <c r="E281" s="10"/>
    </row>
    <row r="282" ht="30.0" customHeight="1">
      <c r="A282" s="8"/>
      <c r="E282" s="10"/>
    </row>
    <row r="283" ht="30.0" customHeight="1">
      <c r="A283" s="8"/>
      <c r="E283" s="10"/>
    </row>
    <row r="284" ht="30.0" customHeight="1">
      <c r="A284" s="8"/>
      <c r="E284" s="10"/>
    </row>
    <row r="285" ht="30.0" customHeight="1">
      <c r="A285" s="8"/>
      <c r="E285" s="10"/>
    </row>
    <row r="286" ht="30.0" customHeight="1">
      <c r="A286" s="8"/>
      <c r="E286" s="10"/>
    </row>
    <row r="287" ht="30.0" customHeight="1">
      <c r="A287" s="8"/>
      <c r="E287" s="10"/>
    </row>
    <row r="288" ht="30.0" customHeight="1">
      <c r="A288" s="8"/>
      <c r="E288" s="10"/>
    </row>
    <row r="289" ht="30.0" customHeight="1">
      <c r="A289" s="8"/>
      <c r="E289" s="10"/>
    </row>
    <row r="290" ht="30.0" customHeight="1">
      <c r="A290" s="8"/>
      <c r="E290" s="10"/>
    </row>
    <row r="291" ht="30.0" customHeight="1">
      <c r="A291" s="8"/>
      <c r="E291" s="10"/>
    </row>
    <row r="292" ht="30.0" customHeight="1">
      <c r="A292" s="8"/>
      <c r="E292" s="10"/>
    </row>
    <row r="293" ht="30.0" customHeight="1">
      <c r="A293" s="8"/>
      <c r="E293" s="10"/>
    </row>
    <row r="294" ht="30.0" customHeight="1">
      <c r="A294" s="8"/>
      <c r="E294" s="10"/>
    </row>
    <row r="295" ht="30.0" customHeight="1">
      <c r="A295" s="8"/>
      <c r="E295" s="10"/>
    </row>
    <row r="296" ht="30.0" customHeight="1">
      <c r="A296" s="8"/>
      <c r="E296" s="10"/>
    </row>
    <row r="297" ht="30.0" customHeight="1">
      <c r="A297" s="8"/>
      <c r="E297" s="10"/>
    </row>
    <row r="298" ht="30.0" customHeight="1">
      <c r="A298" s="8"/>
      <c r="E298" s="10"/>
    </row>
    <row r="299" ht="30.0" customHeight="1">
      <c r="A299" s="8"/>
      <c r="E299" s="10"/>
    </row>
    <row r="300" ht="30.0" customHeight="1">
      <c r="A300" s="8"/>
      <c r="E300" s="10"/>
    </row>
    <row r="301" ht="30.0" customHeight="1">
      <c r="A301" s="8"/>
      <c r="E301" s="10"/>
    </row>
    <row r="302" ht="30.0" customHeight="1">
      <c r="A302" s="8"/>
      <c r="E302" s="10"/>
    </row>
    <row r="303" ht="30.0" customHeight="1">
      <c r="A303" s="8"/>
      <c r="E303" s="10"/>
    </row>
    <row r="304" ht="30.0" customHeight="1">
      <c r="A304" s="8"/>
      <c r="E304" s="10"/>
    </row>
    <row r="305" ht="30.0" customHeight="1">
      <c r="A305" s="8"/>
      <c r="E305" s="10"/>
    </row>
    <row r="306" ht="30.0" customHeight="1">
      <c r="A306" s="8"/>
      <c r="E306" s="10"/>
    </row>
    <row r="307" ht="30.0" customHeight="1">
      <c r="A307" s="8"/>
      <c r="E307" s="10"/>
    </row>
    <row r="308" ht="30.0" customHeight="1">
      <c r="A308" s="8"/>
      <c r="E308" s="10"/>
    </row>
    <row r="309" ht="30.0" customHeight="1">
      <c r="A309" s="8"/>
      <c r="E309" s="10"/>
    </row>
    <row r="310" ht="30.0" customHeight="1">
      <c r="A310" s="8"/>
      <c r="E310" s="10"/>
    </row>
    <row r="311" ht="30.0" customHeight="1">
      <c r="A311" s="8"/>
      <c r="E311" s="10"/>
    </row>
    <row r="312" ht="30.0" customHeight="1">
      <c r="A312" s="8"/>
      <c r="E312" s="10"/>
    </row>
    <row r="313" ht="30.0" customHeight="1">
      <c r="A313" s="8"/>
      <c r="E313" s="10"/>
    </row>
    <row r="314" ht="30.0" customHeight="1">
      <c r="A314" s="8"/>
      <c r="E314" s="10"/>
    </row>
    <row r="315" ht="30.0" customHeight="1">
      <c r="A315" s="8"/>
      <c r="E315" s="10"/>
    </row>
    <row r="316" ht="30.0" customHeight="1">
      <c r="A316" s="8"/>
      <c r="E316" s="10"/>
    </row>
    <row r="317" ht="30.0" customHeight="1">
      <c r="A317" s="8"/>
      <c r="E317" s="10"/>
    </row>
    <row r="318" ht="30.0" customHeight="1">
      <c r="A318" s="8"/>
      <c r="E318" s="10"/>
    </row>
    <row r="319" ht="30.0" customHeight="1">
      <c r="A319" s="8"/>
      <c r="E319" s="10"/>
    </row>
    <row r="320" ht="30.0" customHeight="1">
      <c r="A320" s="8"/>
      <c r="E320" s="10"/>
    </row>
    <row r="321" ht="30.0" customHeight="1">
      <c r="A321" s="8"/>
      <c r="E321" s="10"/>
    </row>
    <row r="322" ht="30.0" customHeight="1">
      <c r="A322" s="8"/>
      <c r="E322" s="10"/>
    </row>
    <row r="323" ht="30.0" customHeight="1">
      <c r="A323" s="8"/>
      <c r="E323" s="10"/>
    </row>
    <row r="324" ht="30.0" customHeight="1">
      <c r="A324" s="8"/>
      <c r="E324" s="10"/>
    </row>
    <row r="325" ht="30.0" customHeight="1">
      <c r="A325" s="8"/>
      <c r="E325" s="10"/>
    </row>
    <row r="326" ht="30.0" customHeight="1">
      <c r="A326" s="8"/>
      <c r="E326" s="10"/>
    </row>
    <row r="327" ht="30.0" customHeight="1">
      <c r="A327" s="8"/>
      <c r="E327" s="10"/>
    </row>
    <row r="328" ht="30.0" customHeight="1">
      <c r="A328" s="8"/>
      <c r="E328" s="10"/>
    </row>
    <row r="329" ht="30.0" customHeight="1">
      <c r="A329" s="8"/>
      <c r="E329" s="10"/>
    </row>
    <row r="330" ht="30.0" customHeight="1">
      <c r="A330" s="8"/>
      <c r="E330" s="10"/>
    </row>
    <row r="331" ht="30.0" customHeight="1">
      <c r="A331" s="8"/>
      <c r="E331" s="10"/>
    </row>
    <row r="332" ht="30.0" customHeight="1">
      <c r="A332" s="8"/>
      <c r="E332" s="10"/>
    </row>
    <row r="333" ht="30.0" customHeight="1">
      <c r="A333" s="8"/>
      <c r="E333" s="10"/>
    </row>
    <row r="334" ht="30.0" customHeight="1">
      <c r="A334" s="8"/>
      <c r="E334" s="10"/>
    </row>
    <row r="335" ht="30.0" customHeight="1">
      <c r="A335" s="8"/>
      <c r="E335" s="10"/>
    </row>
    <row r="336" ht="30.0" customHeight="1">
      <c r="A336" s="8"/>
      <c r="E336" s="10"/>
    </row>
    <row r="337" ht="30.0" customHeight="1">
      <c r="A337" s="8"/>
      <c r="E337" s="10"/>
    </row>
    <row r="338" ht="30.0" customHeight="1">
      <c r="A338" s="8"/>
      <c r="E338" s="10"/>
    </row>
    <row r="339" ht="30.0" customHeight="1">
      <c r="A339" s="8"/>
      <c r="E339" s="10"/>
    </row>
    <row r="340" ht="30.0" customHeight="1">
      <c r="A340" s="8"/>
      <c r="E340" s="10"/>
    </row>
    <row r="341" ht="30.0" customHeight="1">
      <c r="A341" s="8"/>
      <c r="E341" s="10"/>
    </row>
    <row r="342" ht="30.0" customHeight="1">
      <c r="A342" s="8"/>
      <c r="E342" s="10"/>
    </row>
    <row r="343" ht="30.0" customHeight="1">
      <c r="A343" s="8"/>
      <c r="E343" s="10"/>
    </row>
    <row r="344" ht="30.0" customHeight="1">
      <c r="A344" s="8"/>
      <c r="E344" s="10"/>
    </row>
    <row r="345" ht="30.0" customHeight="1">
      <c r="A345" s="8"/>
      <c r="E345" s="10"/>
    </row>
    <row r="346" ht="30.0" customHeight="1">
      <c r="A346" s="8"/>
      <c r="E346" s="10"/>
    </row>
    <row r="347" ht="30.0" customHeight="1">
      <c r="A347" s="8"/>
      <c r="E347" s="10"/>
    </row>
    <row r="348" ht="30.0" customHeight="1">
      <c r="A348" s="8"/>
      <c r="E348" s="10"/>
    </row>
    <row r="349" ht="30.0" customHeight="1">
      <c r="A349" s="8"/>
      <c r="E349" s="10"/>
    </row>
    <row r="350" ht="30.0" customHeight="1">
      <c r="A350" s="8"/>
      <c r="E350" s="10"/>
    </row>
    <row r="351" ht="30.0" customHeight="1">
      <c r="A351" s="8"/>
      <c r="E351" s="10"/>
    </row>
    <row r="352" ht="30.0" customHeight="1">
      <c r="A352" s="8"/>
      <c r="E352" s="10"/>
    </row>
    <row r="353" ht="30.0" customHeight="1">
      <c r="A353" s="8"/>
      <c r="E353" s="10"/>
    </row>
    <row r="354" ht="30.0" customHeight="1">
      <c r="A354" s="8"/>
      <c r="E354" s="10"/>
    </row>
    <row r="355" ht="30.0" customHeight="1">
      <c r="A355" s="8"/>
      <c r="E355" s="10"/>
    </row>
    <row r="356" ht="30.0" customHeight="1">
      <c r="A356" s="8"/>
      <c r="E356" s="10"/>
    </row>
    <row r="357" ht="30.0" customHeight="1">
      <c r="A357" s="8"/>
      <c r="E357" s="10"/>
    </row>
    <row r="358" ht="30.0" customHeight="1">
      <c r="A358" s="8"/>
      <c r="E358" s="10"/>
    </row>
    <row r="359" ht="30.0" customHeight="1">
      <c r="A359" s="8"/>
      <c r="E359" s="10"/>
    </row>
    <row r="360" ht="30.0" customHeight="1">
      <c r="A360" s="8"/>
      <c r="E360" s="10"/>
    </row>
    <row r="361" ht="30.0" customHeight="1">
      <c r="A361" s="8"/>
      <c r="E361" s="10"/>
    </row>
    <row r="362" ht="30.0" customHeight="1">
      <c r="A362" s="8"/>
      <c r="E362" s="10"/>
    </row>
    <row r="363" ht="30.0" customHeight="1">
      <c r="A363" s="8"/>
      <c r="E363" s="10"/>
    </row>
    <row r="364" ht="30.0" customHeight="1">
      <c r="A364" s="8"/>
      <c r="E364" s="10"/>
    </row>
    <row r="365" ht="30.0" customHeight="1">
      <c r="A365" s="8"/>
      <c r="E365" s="10"/>
    </row>
    <row r="366" ht="30.0" customHeight="1">
      <c r="A366" s="8"/>
      <c r="E366" s="10"/>
    </row>
    <row r="367" ht="30.0" customHeight="1">
      <c r="A367" s="8"/>
      <c r="E367" s="10"/>
    </row>
    <row r="368" ht="30.0" customHeight="1">
      <c r="A368" s="8"/>
      <c r="E368" s="10"/>
    </row>
    <row r="369" ht="30.0" customHeight="1">
      <c r="A369" s="8"/>
      <c r="E369" s="10"/>
    </row>
    <row r="370" ht="30.0" customHeight="1">
      <c r="A370" s="8"/>
      <c r="E370" s="10"/>
    </row>
    <row r="371" ht="30.0" customHeight="1">
      <c r="A371" s="8"/>
      <c r="E371" s="10"/>
    </row>
    <row r="372" ht="30.0" customHeight="1">
      <c r="A372" s="8"/>
      <c r="E372" s="10"/>
    </row>
    <row r="373" ht="30.0" customHeight="1">
      <c r="A373" s="8"/>
      <c r="E373" s="10"/>
    </row>
    <row r="374" ht="30.0" customHeight="1">
      <c r="A374" s="8"/>
      <c r="E374" s="10"/>
    </row>
    <row r="375" ht="30.0" customHeight="1">
      <c r="A375" s="8"/>
      <c r="E375" s="10"/>
    </row>
    <row r="376" ht="30.0" customHeight="1">
      <c r="A376" s="8"/>
      <c r="E376" s="10"/>
    </row>
    <row r="377" ht="30.0" customHeight="1">
      <c r="A377" s="8"/>
      <c r="E377" s="10"/>
    </row>
    <row r="378" ht="30.0" customHeight="1">
      <c r="A378" s="8"/>
      <c r="E378" s="10"/>
    </row>
    <row r="379" ht="30.0" customHeight="1">
      <c r="A379" s="8"/>
      <c r="E379" s="10"/>
    </row>
    <row r="380" ht="30.0" customHeight="1">
      <c r="A380" s="8"/>
      <c r="E380" s="10"/>
    </row>
    <row r="381" ht="30.0" customHeight="1">
      <c r="A381" s="8"/>
      <c r="E381" s="10"/>
    </row>
    <row r="382" ht="30.0" customHeight="1">
      <c r="A382" s="8"/>
      <c r="E382" s="10"/>
    </row>
    <row r="383" ht="30.0" customHeight="1">
      <c r="A383" s="8"/>
      <c r="E383" s="10"/>
    </row>
    <row r="384" ht="30.0" customHeight="1">
      <c r="A384" s="8"/>
      <c r="E384" s="10"/>
    </row>
    <row r="385" ht="30.0" customHeight="1">
      <c r="A385" s="8"/>
      <c r="E385" s="10"/>
    </row>
    <row r="386" ht="30.0" customHeight="1">
      <c r="A386" s="8"/>
      <c r="E386" s="10"/>
    </row>
    <row r="387" ht="30.0" customHeight="1">
      <c r="A387" s="8"/>
      <c r="E387" s="10"/>
    </row>
    <row r="388" ht="30.0" customHeight="1">
      <c r="A388" s="8"/>
      <c r="E388" s="10"/>
    </row>
    <row r="389" ht="30.0" customHeight="1">
      <c r="A389" s="8"/>
      <c r="E389" s="10"/>
    </row>
    <row r="390" ht="30.0" customHeight="1">
      <c r="A390" s="8"/>
      <c r="E390" s="10"/>
    </row>
    <row r="391" ht="30.0" customHeight="1">
      <c r="A391" s="8"/>
      <c r="E391" s="10"/>
    </row>
    <row r="392" ht="30.0" customHeight="1">
      <c r="A392" s="8"/>
      <c r="E392" s="10"/>
    </row>
    <row r="393" ht="30.0" customHeight="1">
      <c r="A393" s="8"/>
      <c r="E393" s="10"/>
    </row>
    <row r="394" ht="30.0" customHeight="1">
      <c r="A394" s="8"/>
      <c r="E394" s="10"/>
    </row>
    <row r="395" ht="30.0" customHeight="1">
      <c r="A395" s="8"/>
      <c r="E395" s="10"/>
    </row>
    <row r="396" ht="30.0" customHeight="1">
      <c r="A396" s="8"/>
      <c r="E396" s="10"/>
    </row>
    <row r="397" ht="30.0" customHeight="1">
      <c r="A397" s="8"/>
      <c r="E397" s="10"/>
    </row>
    <row r="398" ht="30.0" customHeight="1">
      <c r="A398" s="8"/>
      <c r="E398" s="10"/>
    </row>
    <row r="399" ht="30.0" customHeight="1">
      <c r="A399" s="8"/>
      <c r="E399" s="10"/>
    </row>
    <row r="400" ht="30.0" customHeight="1">
      <c r="A400" s="8"/>
      <c r="E400" s="10"/>
    </row>
    <row r="401" ht="30.0" customHeight="1">
      <c r="A401" s="8"/>
      <c r="E401" s="10"/>
    </row>
    <row r="402" ht="30.0" customHeight="1">
      <c r="A402" s="8"/>
      <c r="E402" s="10"/>
    </row>
    <row r="403" ht="30.0" customHeight="1">
      <c r="A403" s="8"/>
      <c r="E403" s="10"/>
    </row>
    <row r="404" ht="30.0" customHeight="1">
      <c r="A404" s="8"/>
      <c r="E404" s="10"/>
    </row>
    <row r="405" ht="30.0" customHeight="1">
      <c r="A405" s="8"/>
      <c r="E405" s="10"/>
    </row>
    <row r="406" ht="30.0" customHeight="1">
      <c r="A406" s="8"/>
      <c r="E406" s="10"/>
    </row>
    <row r="407" ht="30.0" customHeight="1">
      <c r="A407" s="8"/>
      <c r="E407" s="10"/>
    </row>
    <row r="408" ht="30.0" customHeight="1">
      <c r="A408" s="8"/>
      <c r="E408" s="10"/>
    </row>
    <row r="409" ht="30.0" customHeight="1">
      <c r="A409" s="8"/>
      <c r="E409" s="10"/>
    </row>
    <row r="410" ht="30.0" customHeight="1">
      <c r="A410" s="8"/>
      <c r="E410" s="10"/>
    </row>
    <row r="411" ht="30.0" customHeight="1">
      <c r="A411" s="8"/>
      <c r="E411" s="10"/>
    </row>
    <row r="412" ht="30.0" customHeight="1">
      <c r="A412" s="8"/>
      <c r="E412" s="10"/>
    </row>
    <row r="413" ht="30.0" customHeight="1">
      <c r="A413" s="8"/>
      <c r="E413" s="10"/>
    </row>
    <row r="414" ht="30.0" customHeight="1">
      <c r="A414" s="8"/>
      <c r="E414" s="10"/>
    </row>
    <row r="415" ht="30.0" customHeight="1">
      <c r="A415" s="8"/>
      <c r="E415" s="10"/>
    </row>
    <row r="416" ht="30.0" customHeight="1">
      <c r="A416" s="8"/>
      <c r="E416" s="10"/>
    </row>
    <row r="417" ht="30.0" customHeight="1">
      <c r="A417" s="8"/>
      <c r="E417" s="10"/>
    </row>
    <row r="418" ht="30.0" customHeight="1">
      <c r="A418" s="8"/>
      <c r="E418" s="10"/>
    </row>
    <row r="419" ht="30.0" customHeight="1">
      <c r="A419" s="8"/>
      <c r="E419" s="10"/>
    </row>
    <row r="420" ht="30.0" customHeight="1">
      <c r="A420" s="8"/>
      <c r="E420" s="10"/>
    </row>
    <row r="421" ht="30.0" customHeight="1">
      <c r="A421" s="8"/>
      <c r="E421" s="10"/>
    </row>
    <row r="422" ht="30.0" customHeight="1">
      <c r="A422" s="8"/>
      <c r="E422" s="10"/>
    </row>
    <row r="423" ht="30.0" customHeight="1">
      <c r="A423" s="8"/>
      <c r="E423" s="10"/>
    </row>
    <row r="424" ht="30.0" customHeight="1">
      <c r="A424" s="8"/>
      <c r="E424" s="10"/>
    </row>
    <row r="425" ht="30.0" customHeight="1">
      <c r="A425" s="8"/>
      <c r="E425" s="10"/>
    </row>
    <row r="426" ht="30.0" customHeight="1">
      <c r="A426" s="8"/>
      <c r="E426" s="10"/>
    </row>
    <row r="427" ht="30.0" customHeight="1">
      <c r="A427" s="8"/>
      <c r="E427" s="10"/>
    </row>
    <row r="428" ht="30.0" customHeight="1">
      <c r="A428" s="8"/>
      <c r="E428" s="10"/>
    </row>
    <row r="429" ht="30.0" customHeight="1">
      <c r="A429" s="8"/>
      <c r="E429" s="10"/>
    </row>
    <row r="430" ht="30.0" customHeight="1">
      <c r="A430" s="8"/>
      <c r="E430" s="10"/>
    </row>
    <row r="431" ht="30.0" customHeight="1">
      <c r="A431" s="8"/>
      <c r="E431" s="10"/>
    </row>
    <row r="432" ht="30.0" customHeight="1">
      <c r="A432" s="8"/>
      <c r="E432" s="10"/>
    </row>
    <row r="433" ht="30.0" customHeight="1">
      <c r="A433" s="8"/>
      <c r="E433" s="10"/>
    </row>
    <row r="434" ht="30.0" customHeight="1">
      <c r="A434" s="8"/>
      <c r="E434" s="10"/>
    </row>
    <row r="435" ht="30.0" customHeight="1">
      <c r="A435" s="8"/>
      <c r="E435" s="10"/>
    </row>
    <row r="436" ht="30.0" customHeight="1">
      <c r="A436" s="8"/>
      <c r="E436" s="10"/>
    </row>
    <row r="437" ht="30.0" customHeight="1">
      <c r="A437" s="8"/>
      <c r="E437" s="10"/>
    </row>
    <row r="438" ht="30.0" customHeight="1">
      <c r="A438" s="8"/>
      <c r="E438" s="10"/>
    </row>
    <row r="439" ht="30.0" customHeight="1">
      <c r="A439" s="8"/>
      <c r="E439" s="10"/>
    </row>
    <row r="440" ht="30.0" customHeight="1">
      <c r="A440" s="8"/>
      <c r="E440" s="10"/>
    </row>
    <row r="441" ht="30.0" customHeight="1">
      <c r="A441" s="8"/>
      <c r="E441" s="10"/>
    </row>
    <row r="442" ht="30.0" customHeight="1">
      <c r="A442" s="8"/>
      <c r="E442" s="10"/>
    </row>
    <row r="443" ht="30.0" customHeight="1">
      <c r="A443" s="8"/>
      <c r="E443" s="10"/>
    </row>
    <row r="444" ht="30.0" customHeight="1">
      <c r="A444" s="8"/>
      <c r="E444" s="10"/>
    </row>
    <row r="445" ht="30.0" customHeight="1">
      <c r="A445" s="8"/>
      <c r="E445" s="10"/>
    </row>
    <row r="446" ht="30.0" customHeight="1">
      <c r="A446" s="8"/>
      <c r="E446" s="10"/>
    </row>
    <row r="447" ht="30.0" customHeight="1">
      <c r="A447" s="8"/>
      <c r="E447" s="10"/>
    </row>
    <row r="448" ht="30.0" customHeight="1">
      <c r="A448" s="8"/>
      <c r="E448" s="10"/>
    </row>
    <row r="449" ht="30.0" customHeight="1">
      <c r="A449" s="8"/>
      <c r="E449" s="10"/>
    </row>
    <row r="450" ht="30.0" customHeight="1">
      <c r="A450" s="8"/>
      <c r="E450" s="10"/>
    </row>
    <row r="451" ht="30.0" customHeight="1">
      <c r="A451" s="8"/>
      <c r="E451" s="10"/>
    </row>
    <row r="452" ht="30.0" customHeight="1">
      <c r="A452" s="8"/>
      <c r="E452" s="10"/>
    </row>
    <row r="453" ht="30.0" customHeight="1">
      <c r="A453" s="8"/>
      <c r="E453" s="10"/>
    </row>
    <row r="454" ht="30.0" customHeight="1">
      <c r="A454" s="8"/>
      <c r="E454" s="10"/>
    </row>
    <row r="455" ht="30.0" customHeight="1">
      <c r="A455" s="8"/>
      <c r="E455" s="10"/>
    </row>
    <row r="456" ht="30.0" customHeight="1">
      <c r="A456" s="8"/>
      <c r="E456" s="10"/>
    </row>
    <row r="457" ht="30.0" customHeight="1">
      <c r="A457" s="8"/>
      <c r="E457" s="10"/>
    </row>
    <row r="458" ht="30.0" customHeight="1">
      <c r="A458" s="8"/>
      <c r="E458" s="10"/>
    </row>
    <row r="459" ht="30.0" customHeight="1">
      <c r="A459" s="8"/>
      <c r="E459" s="10"/>
    </row>
    <row r="460" ht="30.0" customHeight="1">
      <c r="A460" s="8"/>
      <c r="E460" s="10"/>
    </row>
    <row r="461" ht="30.0" customHeight="1">
      <c r="A461" s="8"/>
      <c r="E461" s="10"/>
    </row>
    <row r="462" ht="30.0" customHeight="1">
      <c r="A462" s="8"/>
      <c r="E462" s="10"/>
    </row>
    <row r="463" ht="30.0" customHeight="1">
      <c r="A463" s="8"/>
      <c r="E463" s="10"/>
    </row>
    <row r="464" ht="30.0" customHeight="1">
      <c r="A464" s="8"/>
      <c r="E464" s="10"/>
    </row>
    <row r="465" ht="30.0" customHeight="1">
      <c r="A465" s="8"/>
      <c r="E465" s="10"/>
    </row>
    <row r="466" ht="30.0" customHeight="1">
      <c r="A466" s="8"/>
      <c r="E466" s="10"/>
    </row>
    <row r="467" ht="30.0" customHeight="1">
      <c r="A467" s="8"/>
      <c r="E467" s="10"/>
    </row>
    <row r="468" ht="30.0" customHeight="1">
      <c r="A468" s="8"/>
      <c r="E468" s="10"/>
    </row>
    <row r="469" ht="30.0" customHeight="1">
      <c r="A469" s="8"/>
      <c r="E469" s="10"/>
    </row>
    <row r="470" ht="30.0" customHeight="1">
      <c r="A470" s="8"/>
      <c r="E470" s="10"/>
    </row>
    <row r="471" ht="30.0" customHeight="1">
      <c r="A471" s="8"/>
      <c r="E471" s="10"/>
    </row>
    <row r="472" ht="30.0" customHeight="1">
      <c r="A472" s="8"/>
      <c r="E472" s="10"/>
    </row>
    <row r="473" ht="30.0" customHeight="1">
      <c r="A473" s="8"/>
      <c r="E473" s="10"/>
    </row>
    <row r="474" ht="30.0" customHeight="1">
      <c r="A474" s="8"/>
      <c r="E474" s="10"/>
    </row>
    <row r="475" ht="30.0" customHeight="1">
      <c r="A475" s="8"/>
      <c r="E475" s="10"/>
    </row>
    <row r="476" ht="30.0" customHeight="1">
      <c r="A476" s="8"/>
      <c r="E476" s="10"/>
    </row>
    <row r="477" ht="30.0" customHeight="1">
      <c r="A477" s="8"/>
      <c r="E477" s="10"/>
    </row>
    <row r="478" ht="30.0" customHeight="1">
      <c r="A478" s="8"/>
      <c r="E478" s="10"/>
    </row>
    <row r="479" ht="30.0" customHeight="1">
      <c r="A479" s="8"/>
      <c r="E479" s="10"/>
    </row>
    <row r="480" ht="30.0" customHeight="1">
      <c r="A480" s="8"/>
      <c r="E480" s="10"/>
    </row>
    <row r="481" ht="30.0" customHeight="1">
      <c r="A481" s="8"/>
      <c r="E481" s="10"/>
    </row>
    <row r="482" ht="30.0" customHeight="1">
      <c r="A482" s="8"/>
      <c r="E482" s="10"/>
    </row>
    <row r="483" ht="30.0" customHeight="1">
      <c r="A483" s="8"/>
      <c r="E483" s="10"/>
    </row>
    <row r="484" ht="30.0" customHeight="1">
      <c r="A484" s="8"/>
      <c r="E484" s="10"/>
    </row>
    <row r="485" ht="30.0" customHeight="1">
      <c r="A485" s="8"/>
      <c r="E485" s="10"/>
    </row>
    <row r="486" ht="30.0" customHeight="1">
      <c r="A486" s="8"/>
      <c r="E486" s="10"/>
    </row>
    <row r="487" ht="30.0" customHeight="1">
      <c r="A487" s="8"/>
      <c r="E487" s="10"/>
    </row>
    <row r="488" ht="30.0" customHeight="1">
      <c r="A488" s="8"/>
      <c r="E488" s="10"/>
    </row>
    <row r="489" ht="30.0" customHeight="1">
      <c r="A489" s="8"/>
      <c r="E489" s="10"/>
    </row>
    <row r="490" ht="30.0" customHeight="1">
      <c r="A490" s="8"/>
      <c r="E490" s="10"/>
    </row>
    <row r="491" ht="30.0" customHeight="1">
      <c r="A491" s="8"/>
      <c r="E491" s="10"/>
    </row>
    <row r="492" ht="30.0" customHeight="1">
      <c r="A492" s="8"/>
      <c r="E492" s="10"/>
    </row>
    <row r="493" ht="30.0" customHeight="1">
      <c r="A493" s="8"/>
      <c r="E493" s="10"/>
    </row>
    <row r="494" ht="30.0" customHeight="1">
      <c r="A494" s="8"/>
      <c r="E494" s="10"/>
    </row>
    <row r="495" ht="30.0" customHeight="1">
      <c r="A495" s="8"/>
      <c r="E495" s="10"/>
    </row>
    <row r="496" ht="30.0" customHeight="1">
      <c r="A496" s="8"/>
      <c r="E496" s="10"/>
    </row>
    <row r="497" ht="30.0" customHeight="1">
      <c r="A497" s="8"/>
      <c r="E497" s="10"/>
    </row>
    <row r="498" ht="30.0" customHeight="1">
      <c r="A498" s="8"/>
      <c r="E498" s="10"/>
    </row>
    <row r="499" ht="30.0" customHeight="1">
      <c r="A499" s="8"/>
      <c r="E499" s="10"/>
    </row>
    <row r="500" ht="30.0" customHeight="1">
      <c r="A500" s="8"/>
      <c r="E500" s="10"/>
    </row>
    <row r="501" ht="30.0" customHeight="1">
      <c r="A501" s="8"/>
      <c r="E501" s="10"/>
    </row>
    <row r="502" ht="30.0" customHeight="1">
      <c r="A502" s="8"/>
      <c r="E502" s="10"/>
    </row>
    <row r="503" ht="30.0" customHeight="1">
      <c r="A503" s="8"/>
      <c r="E503" s="10"/>
    </row>
    <row r="504" ht="30.0" customHeight="1">
      <c r="A504" s="8"/>
      <c r="E504" s="10"/>
    </row>
    <row r="505" ht="30.0" customHeight="1">
      <c r="A505" s="8"/>
      <c r="E505" s="10"/>
    </row>
    <row r="506" ht="30.0" customHeight="1">
      <c r="A506" s="8"/>
      <c r="E506" s="10"/>
    </row>
    <row r="507" ht="30.0" customHeight="1">
      <c r="A507" s="8"/>
      <c r="E507" s="10"/>
    </row>
    <row r="508" ht="30.0" customHeight="1">
      <c r="A508" s="8"/>
      <c r="E508" s="10"/>
    </row>
    <row r="509" ht="30.0" customHeight="1">
      <c r="A509" s="8"/>
      <c r="E509" s="10"/>
    </row>
    <row r="510" ht="30.0" customHeight="1">
      <c r="A510" s="8"/>
      <c r="E510" s="10"/>
    </row>
    <row r="511" ht="30.0" customHeight="1">
      <c r="A511" s="8"/>
      <c r="E511" s="10"/>
    </row>
    <row r="512" ht="30.0" customHeight="1">
      <c r="A512" s="8"/>
      <c r="E512" s="10"/>
    </row>
    <row r="513" ht="30.0" customHeight="1">
      <c r="A513" s="8"/>
      <c r="E513" s="10"/>
    </row>
    <row r="514" ht="30.0" customHeight="1">
      <c r="A514" s="8"/>
      <c r="E514" s="10"/>
    </row>
    <row r="515" ht="30.0" customHeight="1">
      <c r="A515" s="8"/>
      <c r="E515" s="10"/>
    </row>
    <row r="516" ht="30.0" customHeight="1">
      <c r="A516" s="8"/>
      <c r="E516" s="10"/>
    </row>
    <row r="517" ht="30.0" customHeight="1">
      <c r="A517" s="8"/>
      <c r="E517" s="10"/>
    </row>
    <row r="518" ht="30.0" customHeight="1">
      <c r="A518" s="8"/>
      <c r="E518" s="10"/>
    </row>
    <row r="519" ht="30.0" customHeight="1">
      <c r="A519" s="8"/>
      <c r="E519" s="10"/>
    </row>
    <row r="520" ht="30.0" customHeight="1">
      <c r="A520" s="8"/>
      <c r="E520" s="10"/>
    </row>
    <row r="521" ht="30.0" customHeight="1">
      <c r="A521" s="8"/>
      <c r="E521" s="10"/>
    </row>
    <row r="522" ht="30.0" customHeight="1">
      <c r="A522" s="8"/>
      <c r="E522" s="10"/>
    </row>
    <row r="523" ht="30.0" customHeight="1">
      <c r="A523" s="8"/>
      <c r="E523" s="10"/>
    </row>
    <row r="524" ht="30.0" customHeight="1">
      <c r="A524" s="8"/>
      <c r="E524" s="10"/>
    </row>
    <row r="525" ht="30.0" customHeight="1">
      <c r="A525" s="8"/>
      <c r="E525" s="10"/>
    </row>
    <row r="526" ht="30.0" customHeight="1">
      <c r="A526" s="8"/>
      <c r="E526" s="10"/>
    </row>
    <row r="527" ht="30.0" customHeight="1">
      <c r="A527" s="8"/>
      <c r="E527" s="10"/>
    </row>
    <row r="528" ht="30.0" customHeight="1">
      <c r="A528" s="8"/>
      <c r="E528" s="10"/>
    </row>
    <row r="529" ht="30.0" customHeight="1">
      <c r="A529" s="8"/>
      <c r="E529" s="10"/>
    </row>
    <row r="530" ht="30.0" customHeight="1">
      <c r="A530" s="8"/>
      <c r="E530" s="10"/>
    </row>
    <row r="531" ht="30.0" customHeight="1">
      <c r="A531" s="8"/>
      <c r="E531" s="10"/>
    </row>
    <row r="532" ht="30.0" customHeight="1">
      <c r="A532" s="8"/>
      <c r="E532" s="10"/>
    </row>
    <row r="533" ht="30.0" customHeight="1">
      <c r="A533" s="8"/>
      <c r="E533" s="10"/>
    </row>
    <row r="534" ht="30.0" customHeight="1">
      <c r="A534" s="8"/>
      <c r="E534" s="10"/>
    </row>
    <row r="535" ht="30.0" customHeight="1">
      <c r="A535" s="8"/>
      <c r="E535" s="10"/>
    </row>
    <row r="536" ht="30.0" customHeight="1">
      <c r="A536" s="8"/>
      <c r="E536" s="10"/>
    </row>
    <row r="537" ht="30.0" customHeight="1">
      <c r="A537" s="8"/>
      <c r="E537" s="10"/>
    </row>
    <row r="538" ht="30.0" customHeight="1">
      <c r="A538" s="8"/>
      <c r="E538" s="10"/>
    </row>
    <row r="539" ht="30.0" customHeight="1">
      <c r="A539" s="8"/>
      <c r="E539" s="10"/>
    </row>
    <row r="540" ht="30.0" customHeight="1">
      <c r="A540" s="8"/>
      <c r="E540" s="10"/>
    </row>
    <row r="541" ht="30.0" customHeight="1">
      <c r="A541" s="8"/>
      <c r="E541" s="10"/>
    </row>
    <row r="542" ht="30.0" customHeight="1">
      <c r="A542" s="8"/>
      <c r="E542" s="10"/>
    </row>
    <row r="543" ht="30.0" customHeight="1">
      <c r="A543" s="8"/>
      <c r="E543" s="10"/>
    </row>
    <row r="544" ht="30.0" customHeight="1">
      <c r="A544" s="8"/>
      <c r="E544" s="10"/>
    </row>
    <row r="545" ht="30.0" customHeight="1">
      <c r="A545" s="8"/>
      <c r="E545" s="10"/>
    </row>
    <row r="546" ht="30.0" customHeight="1">
      <c r="A546" s="8"/>
      <c r="E546" s="10"/>
    </row>
    <row r="547" ht="30.0" customHeight="1">
      <c r="A547" s="8"/>
      <c r="E547" s="10"/>
    </row>
    <row r="548" ht="30.0" customHeight="1">
      <c r="A548" s="8"/>
      <c r="E548" s="10"/>
    </row>
    <row r="549" ht="30.0" customHeight="1">
      <c r="A549" s="8"/>
      <c r="E549" s="10"/>
    </row>
    <row r="550" ht="30.0" customHeight="1">
      <c r="A550" s="8"/>
      <c r="E550" s="10"/>
    </row>
    <row r="551" ht="30.0" customHeight="1">
      <c r="A551" s="8"/>
      <c r="E551" s="10"/>
    </row>
    <row r="552" ht="30.0" customHeight="1">
      <c r="A552" s="8"/>
      <c r="E552" s="10"/>
    </row>
    <row r="553" ht="30.0" customHeight="1">
      <c r="A553" s="8"/>
      <c r="E553" s="10"/>
    </row>
    <row r="554" ht="30.0" customHeight="1">
      <c r="A554" s="8"/>
      <c r="E554" s="10"/>
    </row>
    <row r="555" ht="30.0" customHeight="1">
      <c r="A555" s="8"/>
      <c r="E555" s="10"/>
    </row>
    <row r="556" ht="30.0" customHeight="1">
      <c r="A556" s="8"/>
      <c r="E556" s="10"/>
    </row>
    <row r="557" ht="30.0" customHeight="1">
      <c r="A557" s="8"/>
      <c r="E557" s="10"/>
    </row>
    <row r="558" ht="30.0" customHeight="1">
      <c r="A558" s="8"/>
      <c r="E558" s="10"/>
    </row>
    <row r="559" ht="30.0" customHeight="1">
      <c r="A559" s="8"/>
      <c r="E559" s="10"/>
    </row>
    <row r="560" ht="30.0" customHeight="1">
      <c r="A560" s="8"/>
      <c r="E560" s="10"/>
    </row>
    <row r="561" ht="30.0" customHeight="1">
      <c r="A561" s="8"/>
      <c r="E561" s="10"/>
    </row>
    <row r="562" ht="30.0" customHeight="1">
      <c r="A562" s="8"/>
      <c r="E562" s="10"/>
    </row>
    <row r="563" ht="30.0" customHeight="1">
      <c r="A563" s="8"/>
      <c r="E563" s="10"/>
    </row>
    <row r="564" ht="30.0" customHeight="1">
      <c r="A564" s="8"/>
      <c r="E564" s="10"/>
    </row>
    <row r="565" ht="30.0" customHeight="1">
      <c r="A565" s="8"/>
      <c r="E565" s="10"/>
    </row>
    <row r="566" ht="30.0" customHeight="1">
      <c r="A566" s="8"/>
      <c r="E566" s="10"/>
    </row>
    <row r="567" ht="30.0" customHeight="1">
      <c r="A567" s="8"/>
      <c r="E567" s="10"/>
    </row>
    <row r="568" ht="30.0" customHeight="1">
      <c r="A568" s="8"/>
      <c r="E568" s="10"/>
    </row>
    <row r="569" ht="30.0" customHeight="1">
      <c r="A569" s="8"/>
      <c r="E569" s="10"/>
    </row>
    <row r="570" ht="30.0" customHeight="1">
      <c r="A570" s="8"/>
      <c r="E570" s="10"/>
    </row>
    <row r="571" ht="30.0" customHeight="1">
      <c r="A571" s="8"/>
      <c r="E571" s="10"/>
    </row>
    <row r="572" ht="30.0" customHeight="1">
      <c r="A572" s="8"/>
      <c r="E572" s="10"/>
    </row>
    <row r="573" ht="30.0" customHeight="1">
      <c r="A573" s="8"/>
      <c r="E573" s="10"/>
    </row>
    <row r="574" ht="30.0" customHeight="1">
      <c r="A574" s="8"/>
      <c r="E574" s="10"/>
    </row>
    <row r="575" ht="30.0" customHeight="1">
      <c r="A575" s="8"/>
      <c r="E575" s="10"/>
    </row>
    <row r="576" ht="30.0" customHeight="1">
      <c r="A576" s="8"/>
      <c r="E576" s="10"/>
    </row>
    <row r="577" ht="30.0" customHeight="1">
      <c r="A577" s="8"/>
      <c r="E577" s="10"/>
    </row>
    <row r="578" ht="30.0" customHeight="1">
      <c r="A578" s="8"/>
      <c r="E578" s="10"/>
    </row>
    <row r="579" ht="30.0" customHeight="1">
      <c r="A579" s="8"/>
      <c r="E579" s="10"/>
    </row>
    <row r="580" ht="30.0" customHeight="1">
      <c r="A580" s="8"/>
      <c r="E580" s="10"/>
    </row>
    <row r="581" ht="30.0" customHeight="1">
      <c r="A581" s="8"/>
      <c r="E581" s="10"/>
    </row>
    <row r="582" ht="30.0" customHeight="1">
      <c r="A582" s="8"/>
      <c r="E582" s="10"/>
    </row>
    <row r="583" ht="30.0" customHeight="1">
      <c r="A583" s="8"/>
      <c r="E583" s="10"/>
    </row>
    <row r="584" ht="30.0" customHeight="1">
      <c r="A584" s="8"/>
      <c r="E584" s="10"/>
    </row>
    <row r="585" ht="30.0" customHeight="1">
      <c r="A585" s="8"/>
      <c r="E585" s="10"/>
    </row>
    <row r="586" ht="30.0" customHeight="1">
      <c r="A586" s="8"/>
      <c r="E586" s="10"/>
    </row>
    <row r="587" ht="30.0" customHeight="1">
      <c r="A587" s="8"/>
      <c r="E587" s="10"/>
    </row>
    <row r="588" ht="30.0" customHeight="1">
      <c r="A588" s="8"/>
      <c r="E588" s="10"/>
    </row>
    <row r="589" ht="30.0" customHeight="1">
      <c r="A589" s="8"/>
      <c r="E589" s="10"/>
    </row>
    <row r="590" ht="30.0" customHeight="1">
      <c r="A590" s="8"/>
      <c r="E590" s="10"/>
    </row>
    <row r="591" ht="30.0" customHeight="1">
      <c r="A591" s="8"/>
      <c r="E591" s="10"/>
    </row>
    <row r="592" ht="30.0" customHeight="1">
      <c r="A592" s="8"/>
      <c r="E592" s="10"/>
    </row>
    <row r="593" ht="30.0" customHeight="1">
      <c r="A593" s="8"/>
      <c r="E593" s="10"/>
    </row>
    <row r="594" ht="30.0" customHeight="1">
      <c r="A594" s="8"/>
      <c r="E594" s="10"/>
    </row>
    <row r="595" ht="30.0" customHeight="1">
      <c r="A595" s="8"/>
      <c r="E595" s="10"/>
    </row>
    <row r="596" ht="30.0" customHeight="1">
      <c r="A596" s="8"/>
      <c r="E596" s="10"/>
    </row>
    <row r="597" ht="30.0" customHeight="1">
      <c r="A597" s="8"/>
      <c r="E597" s="10"/>
    </row>
    <row r="598" ht="30.0" customHeight="1">
      <c r="A598" s="8"/>
      <c r="E598" s="10"/>
    </row>
    <row r="599" ht="30.0" customHeight="1">
      <c r="A599" s="8"/>
      <c r="E599" s="10"/>
    </row>
    <row r="600" ht="30.0" customHeight="1">
      <c r="A600" s="8"/>
      <c r="E600" s="10"/>
    </row>
    <row r="601" ht="30.0" customHeight="1">
      <c r="A601" s="8"/>
      <c r="E601" s="10"/>
    </row>
    <row r="602" ht="30.0" customHeight="1">
      <c r="A602" s="8"/>
      <c r="E602" s="10"/>
    </row>
    <row r="603" ht="30.0" customHeight="1">
      <c r="A603" s="8"/>
      <c r="E603" s="10"/>
    </row>
    <row r="604" ht="30.0" customHeight="1">
      <c r="A604" s="8"/>
      <c r="E604" s="10"/>
    </row>
    <row r="605" ht="30.0" customHeight="1">
      <c r="A605" s="8"/>
      <c r="E605" s="10"/>
    </row>
    <row r="606" ht="30.0" customHeight="1">
      <c r="A606" s="8"/>
      <c r="E606" s="10"/>
    </row>
    <row r="607" ht="30.0" customHeight="1">
      <c r="A607" s="8"/>
      <c r="E607" s="10"/>
    </row>
    <row r="608" ht="30.0" customHeight="1">
      <c r="A608" s="8"/>
      <c r="E608" s="10"/>
    </row>
    <row r="609" ht="30.0" customHeight="1">
      <c r="A609" s="8"/>
      <c r="E609" s="10"/>
    </row>
    <row r="610" ht="30.0" customHeight="1">
      <c r="A610" s="8"/>
      <c r="E610" s="10"/>
    </row>
    <row r="611" ht="30.0" customHeight="1">
      <c r="A611" s="8"/>
      <c r="E611" s="10"/>
    </row>
    <row r="612" ht="30.0" customHeight="1">
      <c r="A612" s="8"/>
      <c r="E612" s="10"/>
    </row>
    <row r="613" ht="30.0" customHeight="1">
      <c r="A613" s="8"/>
      <c r="E613" s="10"/>
    </row>
    <row r="614" ht="30.0" customHeight="1">
      <c r="A614" s="8"/>
      <c r="E614" s="10"/>
    </row>
    <row r="615" ht="30.0" customHeight="1">
      <c r="A615" s="8"/>
      <c r="E615" s="10"/>
    </row>
    <row r="616" ht="30.0" customHeight="1">
      <c r="A616" s="8"/>
      <c r="E616" s="10"/>
    </row>
    <row r="617" ht="30.0" customHeight="1">
      <c r="A617" s="8"/>
      <c r="E617" s="10"/>
    </row>
    <row r="618" ht="30.0" customHeight="1">
      <c r="A618" s="8"/>
      <c r="E618" s="10"/>
    </row>
    <row r="619" ht="30.0" customHeight="1">
      <c r="A619" s="8"/>
      <c r="E619" s="10"/>
    </row>
    <row r="620" ht="30.0" customHeight="1">
      <c r="A620" s="8"/>
      <c r="E620" s="10"/>
    </row>
    <row r="621" ht="30.0" customHeight="1">
      <c r="A621" s="8"/>
      <c r="E621" s="10"/>
    </row>
    <row r="622" ht="30.0" customHeight="1">
      <c r="A622" s="8"/>
      <c r="E622" s="10"/>
    </row>
    <row r="623" ht="30.0" customHeight="1">
      <c r="A623" s="8"/>
      <c r="E623" s="10"/>
    </row>
    <row r="624" ht="30.0" customHeight="1">
      <c r="A624" s="8"/>
      <c r="E624" s="10"/>
    </row>
    <row r="625" ht="30.0" customHeight="1">
      <c r="A625" s="8"/>
      <c r="E625" s="10"/>
    </row>
    <row r="626" ht="30.0" customHeight="1">
      <c r="A626" s="8"/>
      <c r="E626" s="10"/>
    </row>
    <row r="627" ht="30.0" customHeight="1">
      <c r="A627" s="8"/>
      <c r="E627" s="10"/>
    </row>
    <row r="628" ht="30.0" customHeight="1">
      <c r="A628" s="8"/>
      <c r="E628" s="10"/>
    </row>
    <row r="629" ht="30.0" customHeight="1">
      <c r="A629" s="8"/>
      <c r="E629" s="10"/>
    </row>
    <row r="630" ht="30.0" customHeight="1">
      <c r="A630" s="8"/>
      <c r="E630" s="10"/>
    </row>
    <row r="631" ht="30.0" customHeight="1">
      <c r="A631" s="8"/>
      <c r="E631" s="10"/>
    </row>
    <row r="632" ht="30.0" customHeight="1">
      <c r="A632" s="8"/>
      <c r="E632" s="10"/>
    </row>
    <row r="633" ht="30.0" customHeight="1">
      <c r="A633" s="8"/>
      <c r="E633" s="10"/>
    </row>
    <row r="634" ht="30.0" customHeight="1">
      <c r="A634" s="8"/>
      <c r="E634" s="10"/>
    </row>
    <row r="635" ht="30.0" customHeight="1">
      <c r="A635" s="8"/>
      <c r="E635" s="10"/>
    </row>
    <row r="636" ht="30.0" customHeight="1">
      <c r="A636" s="8"/>
      <c r="E636" s="10"/>
    </row>
    <row r="637" ht="30.0" customHeight="1">
      <c r="A637" s="8"/>
      <c r="E637" s="10"/>
    </row>
    <row r="638" ht="30.0" customHeight="1">
      <c r="A638" s="8"/>
      <c r="E638" s="10"/>
    </row>
    <row r="639" ht="30.0" customHeight="1">
      <c r="A639" s="8"/>
      <c r="E639" s="10"/>
    </row>
    <row r="640" ht="30.0" customHeight="1">
      <c r="A640" s="8"/>
      <c r="E640" s="10"/>
    </row>
    <row r="641" ht="30.0" customHeight="1">
      <c r="A641" s="8"/>
      <c r="E641" s="10"/>
    </row>
    <row r="642" ht="30.0" customHeight="1">
      <c r="A642" s="8"/>
      <c r="E642" s="10"/>
    </row>
    <row r="643" ht="30.0" customHeight="1">
      <c r="A643" s="8"/>
      <c r="E643" s="10"/>
    </row>
    <row r="644" ht="30.0" customHeight="1">
      <c r="A644" s="8"/>
      <c r="E644" s="10"/>
    </row>
    <row r="645" ht="30.0" customHeight="1">
      <c r="A645" s="8"/>
      <c r="E645" s="10"/>
    </row>
    <row r="646" ht="30.0" customHeight="1">
      <c r="A646" s="8"/>
      <c r="E646" s="10"/>
    </row>
    <row r="647" ht="30.0" customHeight="1">
      <c r="A647" s="8"/>
      <c r="E647" s="10"/>
    </row>
    <row r="648" ht="30.0" customHeight="1">
      <c r="A648" s="8"/>
      <c r="E648" s="10"/>
    </row>
    <row r="649" ht="30.0" customHeight="1">
      <c r="A649" s="8"/>
      <c r="E649" s="10"/>
    </row>
    <row r="650" ht="30.0" customHeight="1">
      <c r="A650" s="8"/>
      <c r="E650" s="10"/>
    </row>
    <row r="651" ht="30.0" customHeight="1">
      <c r="A651" s="8"/>
      <c r="E651" s="10"/>
    </row>
    <row r="652" ht="30.0" customHeight="1">
      <c r="A652" s="8"/>
      <c r="E652" s="10"/>
    </row>
    <row r="653" ht="30.0" customHeight="1">
      <c r="A653" s="8"/>
      <c r="E653" s="10"/>
    </row>
    <row r="654" ht="30.0" customHeight="1">
      <c r="A654" s="8"/>
      <c r="E654" s="10"/>
    </row>
    <row r="655" ht="30.0" customHeight="1">
      <c r="A655" s="8"/>
      <c r="E655" s="10"/>
    </row>
    <row r="656" ht="30.0" customHeight="1">
      <c r="A656" s="8"/>
      <c r="E656" s="10"/>
    </row>
    <row r="657" ht="30.0" customHeight="1">
      <c r="A657" s="8"/>
      <c r="E657" s="10"/>
    </row>
    <row r="658" ht="30.0" customHeight="1">
      <c r="A658" s="8"/>
      <c r="E658" s="10"/>
    </row>
    <row r="659" ht="30.0" customHeight="1">
      <c r="A659" s="8"/>
      <c r="E659" s="10"/>
    </row>
    <row r="660" ht="30.0" customHeight="1">
      <c r="A660" s="8"/>
      <c r="E660" s="10"/>
    </row>
    <row r="661" ht="30.0" customHeight="1">
      <c r="A661" s="8"/>
      <c r="E661" s="10"/>
    </row>
    <row r="662" ht="30.0" customHeight="1">
      <c r="A662" s="8"/>
      <c r="E662" s="10"/>
    </row>
    <row r="663" ht="30.0" customHeight="1">
      <c r="A663" s="8"/>
      <c r="E663" s="10"/>
    </row>
    <row r="664" ht="30.0" customHeight="1">
      <c r="A664" s="8"/>
      <c r="E664" s="10"/>
    </row>
    <row r="665" ht="30.0" customHeight="1">
      <c r="A665" s="8"/>
      <c r="E665" s="10"/>
    </row>
    <row r="666" ht="30.0" customHeight="1">
      <c r="A666" s="8"/>
      <c r="E666" s="10"/>
    </row>
    <row r="667" ht="30.0" customHeight="1">
      <c r="A667" s="8"/>
      <c r="E667" s="10"/>
    </row>
    <row r="668" ht="30.0" customHeight="1">
      <c r="A668" s="8"/>
      <c r="E668" s="10"/>
    </row>
    <row r="669" ht="30.0" customHeight="1">
      <c r="A669" s="8"/>
      <c r="E669" s="10"/>
    </row>
    <row r="670" ht="30.0" customHeight="1">
      <c r="A670" s="8"/>
      <c r="E670" s="10"/>
    </row>
    <row r="671" ht="30.0" customHeight="1">
      <c r="A671" s="8"/>
      <c r="E671" s="10"/>
    </row>
    <row r="672" ht="30.0" customHeight="1">
      <c r="A672" s="8"/>
      <c r="E672" s="10"/>
    </row>
    <row r="673" ht="30.0" customHeight="1">
      <c r="A673" s="8"/>
      <c r="E673" s="10"/>
    </row>
    <row r="674" ht="30.0" customHeight="1">
      <c r="A674" s="8"/>
      <c r="E674" s="10"/>
    </row>
    <row r="675" ht="30.0" customHeight="1">
      <c r="A675" s="8"/>
      <c r="E675" s="10"/>
    </row>
    <row r="676" ht="30.0" customHeight="1">
      <c r="A676" s="8"/>
      <c r="E676" s="10"/>
    </row>
    <row r="677" ht="30.0" customHeight="1">
      <c r="A677" s="8"/>
      <c r="E677" s="10"/>
    </row>
    <row r="678" ht="30.0" customHeight="1">
      <c r="A678" s="8"/>
      <c r="E678" s="10"/>
    </row>
    <row r="679" ht="30.0" customHeight="1">
      <c r="A679" s="8"/>
      <c r="E679" s="10"/>
    </row>
    <row r="680" ht="30.0" customHeight="1">
      <c r="A680" s="8"/>
      <c r="E680" s="10"/>
    </row>
    <row r="681" ht="30.0" customHeight="1">
      <c r="A681" s="8"/>
      <c r="E681" s="10"/>
    </row>
    <row r="682" ht="30.0" customHeight="1">
      <c r="A682" s="8"/>
      <c r="E682" s="10"/>
    </row>
    <row r="683" ht="30.0" customHeight="1">
      <c r="A683" s="8"/>
      <c r="E683" s="10"/>
    </row>
    <row r="684" ht="30.0" customHeight="1">
      <c r="A684" s="8"/>
      <c r="E684" s="10"/>
    </row>
    <row r="685" ht="30.0" customHeight="1">
      <c r="A685" s="8"/>
      <c r="E685" s="10"/>
    </row>
    <row r="686" ht="30.0" customHeight="1">
      <c r="A686" s="8"/>
      <c r="E686" s="10"/>
    </row>
    <row r="687" ht="30.0" customHeight="1">
      <c r="A687" s="8"/>
      <c r="E687" s="10"/>
    </row>
    <row r="688" ht="30.0" customHeight="1">
      <c r="A688" s="8"/>
      <c r="E688" s="10"/>
    </row>
    <row r="689" ht="30.0" customHeight="1">
      <c r="A689" s="8"/>
      <c r="E689" s="10"/>
    </row>
    <row r="690" ht="30.0" customHeight="1">
      <c r="A690" s="8"/>
      <c r="E690" s="10"/>
    </row>
    <row r="691" ht="30.0" customHeight="1">
      <c r="A691" s="8"/>
      <c r="E691" s="10"/>
    </row>
    <row r="692" ht="30.0" customHeight="1">
      <c r="A692" s="8"/>
      <c r="E692" s="10"/>
    </row>
    <row r="693" ht="30.0" customHeight="1">
      <c r="A693" s="8"/>
      <c r="E693" s="10"/>
    </row>
    <row r="694" ht="30.0" customHeight="1">
      <c r="A694" s="8"/>
      <c r="E694" s="10"/>
    </row>
    <row r="695" ht="30.0" customHeight="1">
      <c r="A695" s="8"/>
      <c r="E695" s="10"/>
    </row>
    <row r="696" ht="30.0" customHeight="1">
      <c r="A696" s="8"/>
      <c r="E696" s="10"/>
    </row>
    <row r="697" ht="30.0" customHeight="1">
      <c r="A697" s="8"/>
      <c r="E697" s="10"/>
    </row>
    <row r="698" ht="30.0" customHeight="1">
      <c r="A698" s="8"/>
      <c r="E698" s="10"/>
    </row>
    <row r="699" ht="30.0" customHeight="1">
      <c r="A699" s="8"/>
      <c r="E699" s="10"/>
    </row>
    <row r="700" ht="30.0" customHeight="1">
      <c r="A700" s="8"/>
      <c r="E700" s="10"/>
    </row>
    <row r="701" ht="30.0" customHeight="1">
      <c r="A701" s="8"/>
      <c r="E701" s="10"/>
    </row>
    <row r="702" ht="30.0" customHeight="1">
      <c r="A702" s="8"/>
      <c r="E702" s="10"/>
    </row>
    <row r="703" ht="30.0" customHeight="1">
      <c r="A703" s="8"/>
      <c r="E703" s="10"/>
    </row>
    <row r="704" ht="30.0" customHeight="1">
      <c r="A704" s="8"/>
      <c r="E704" s="10"/>
    </row>
    <row r="705" ht="30.0" customHeight="1">
      <c r="A705" s="8"/>
      <c r="E705" s="10"/>
    </row>
    <row r="706" ht="30.0" customHeight="1">
      <c r="A706" s="8"/>
      <c r="E706" s="10"/>
    </row>
    <row r="707" ht="30.0" customHeight="1">
      <c r="A707" s="8"/>
      <c r="E707" s="10"/>
    </row>
    <row r="708" ht="30.0" customHeight="1">
      <c r="A708" s="8"/>
      <c r="E708" s="10"/>
    </row>
    <row r="709" ht="30.0" customHeight="1">
      <c r="A709" s="8"/>
      <c r="E709" s="10"/>
    </row>
    <row r="710" ht="30.0" customHeight="1">
      <c r="A710" s="8"/>
      <c r="E710" s="10"/>
    </row>
    <row r="711" ht="30.0" customHeight="1">
      <c r="A711" s="8"/>
      <c r="E711" s="10"/>
    </row>
    <row r="712" ht="30.0" customHeight="1">
      <c r="A712" s="8"/>
      <c r="E712" s="10"/>
    </row>
    <row r="713" ht="30.0" customHeight="1">
      <c r="A713" s="8"/>
      <c r="E713" s="10"/>
    </row>
    <row r="714" ht="30.0" customHeight="1">
      <c r="A714" s="8"/>
      <c r="E714" s="10"/>
    </row>
    <row r="715" ht="30.0" customHeight="1">
      <c r="A715" s="8"/>
      <c r="E715" s="10"/>
    </row>
    <row r="716" ht="30.0" customHeight="1">
      <c r="A716" s="8"/>
      <c r="E716" s="10"/>
    </row>
    <row r="717" ht="30.0" customHeight="1">
      <c r="A717" s="8"/>
      <c r="E717" s="10"/>
    </row>
    <row r="718" ht="30.0" customHeight="1">
      <c r="A718" s="8"/>
      <c r="E718" s="10"/>
    </row>
    <row r="719" ht="30.0" customHeight="1">
      <c r="A719" s="8"/>
      <c r="E719" s="10"/>
    </row>
    <row r="720" ht="30.0" customHeight="1">
      <c r="A720" s="8"/>
      <c r="E720" s="10"/>
    </row>
    <row r="721" ht="30.0" customHeight="1">
      <c r="A721" s="8"/>
      <c r="E721" s="10"/>
    </row>
    <row r="722" ht="30.0" customHeight="1">
      <c r="A722" s="8"/>
      <c r="E722" s="10"/>
    </row>
    <row r="723" ht="30.0" customHeight="1">
      <c r="A723" s="8"/>
      <c r="E723" s="10"/>
    </row>
    <row r="724" ht="30.0" customHeight="1">
      <c r="A724" s="8"/>
      <c r="E724" s="10"/>
    </row>
    <row r="725" ht="30.0" customHeight="1">
      <c r="A725" s="8"/>
      <c r="E725" s="10"/>
    </row>
    <row r="726" ht="30.0" customHeight="1">
      <c r="A726" s="8"/>
      <c r="E726" s="10"/>
    </row>
    <row r="727" ht="30.0" customHeight="1">
      <c r="A727" s="8"/>
      <c r="E727" s="10"/>
    </row>
    <row r="728" ht="30.0" customHeight="1">
      <c r="A728" s="8"/>
      <c r="E728" s="10"/>
    </row>
    <row r="729" ht="30.0" customHeight="1">
      <c r="A729" s="8"/>
      <c r="E729" s="10"/>
    </row>
    <row r="730" ht="30.0" customHeight="1">
      <c r="A730" s="8"/>
      <c r="E730" s="10"/>
    </row>
    <row r="731" ht="30.0" customHeight="1">
      <c r="A731" s="8"/>
      <c r="E731" s="10"/>
    </row>
    <row r="732" ht="30.0" customHeight="1">
      <c r="A732" s="8"/>
      <c r="E732" s="10"/>
    </row>
    <row r="733" ht="30.0" customHeight="1">
      <c r="A733" s="8"/>
      <c r="E733" s="10"/>
    </row>
    <row r="734" ht="30.0" customHeight="1">
      <c r="A734" s="8"/>
      <c r="E734" s="10"/>
    </row>
    <row r="735" ht="30.0" customHeight="1">
      <c r="A735" s="8"/>
      <c r="E735" s="10"/>
    </row>
    <row r="736" ht="30.0" customHeight="1">
      <c r="A736" s="8"/>
      <c r="E736" s="10"/>
    </row>
    <row r="737" ht="30.0" customHeight="1">
      <c r="A737" s="8"/>
      <c r="E737" s="10"/>
    </row>
    <row r="738" ht="30.0" customHeight="1">
      <c r="A738" s="8"/>
      <c r="E738" s="10"/>
    </row>
    <row r="739" ht="30.0" customHeight="1">
      <c r="A739" s="8"/>
      <c r="E739" s="10"/>
    </row>
    <row r="740" ht="30.0" customHeight="1">
      <c r="A740" s="8"/>
      <c r="E740" s="10"/>
    </row>
    <row r="741" ht="30.0" customHeight="1">
      <c r="A741" s="8"/>
      <c r="E741" s="10"/>
    </row>
    <row r="742" ht="30.0" customHeight="1">
      <c r="A742" s="8"/>
      <c r="E742" s="10"/>
    </row>
    <row r="743" ht="30.0" customHeight="1">
      <c r="A743" s="8"/>
      <c r="E743" s="10"/>
    </row>
    <row r="744" ht="30.0" customHeight="1">
      <c r="A744" s="8"/>
      <c r="E744" s="10"/>
    </row>
    <row r="745" ht="30.0" customHeight="1">
      <c r="A745" s="8"/>
      <c r="E745" s="10"/>
    </row>
    <row r="746" ht="30.0" customHeight="1">
      <c r="A746" s="8"/>
      <c r="E746" s="10"/>
    </row>
    <row r="747" ht="30.0" customHeight="1">
      <c r="A747" s="8"/>
      <c r="E747" s="10"/>
    </row>
    <row r="748" ht="30.0" customHeight="1">
      <c r="A748" s="8"/>
      <c r="E748" s="10"/>
    </row>
    <row r="749" ht="30.0" customHeight="1">
      <c r="A749" s="8"/>
      <c r="E749" s="10"/>
    </row>
    <row r="750" ht="30.0" customHeight="1">
      <c r="A750" s="8"/>
      <c r="E750" s="10"/>
    </row>
    <row r="751" ht="30.0" customHeight="1">
      <c r="A751" s="8"/>
      <c r="E751" s="10"/>
    </row>
    <row r="752" ht="30.0" customHeight="1">
      <c r="A752" s="8"/>
      <c r="E752" s="10"/>
    </row>
    <row r="753" ht="30.0" customHeight="1">
      <c r="A753" s="8"/>
      <c r="E753" s="10"/>
    </row>
    <row r="754" ht="30.0" customHeight="1">
      <c r="A754" s="8"/>
      <c r="E754" s="10"/>
    </row>
    <row r="755" ht="30.0" customHeight="1">
      <c r="A755" s="8"/>
      <c r="E755" s="10"/>
    </row>
    <row r="756" ht="30.0" customHeight="1">
      <c r="A756" s="8"/>
      <c r="E756" s="10"/>
    </row>
    <row r="757" ht="30.0" customHeight="1">
      <c r="A757" s="8"/>
      <c r="E757" s="10"/>
    </row>
    <row r="758" ht="30.0" customHeight="1">
      <c r="A758" s="8"/>
      <c r="E758" s="10"/>
    </row>
    <row r="759" ht="30.0" customHeight="1">
      <c r="A759" s="8"/>
      <c r="E759" s="10"/>
    </row>
    <row r="760" ht="30.0" customHeight="1">
      <c r="A760" s="8"/>
      <c r="E760" s="10"/>
    </row>
    <row r="761" ht="30.0" customHeight="1">
      <c r="A761" s="8"/>
      <c r="E761" s="10"/>
    </row>
    <row r="762" ht="30.0" customHeight="1">
      <c r="A762" s="8"/>
      <c r="E762" s="10"/>
    </row>
    <row r="763" ht="30.0" customHeight="1">
      <c r="A763" s="8"/>
      <c r="E763" s="10"/>
    </row>
    <row r="764" ht="30.0" customHeight="1">
      <c r="A764" s="8"/>
      <c r="E764" s="10"/>
    </row>
    <row r="765" ht="30.0" customHeight="1">
      <c r="A765" s="8"/>
      <c r="E765" s="10"/>
    </row>
    <row r="766" ht="30.0" customHeight="1">
      <c r="A766" s="8"/>
      <c r="E766" s="10"/>
    </row>
    <row r="767" ht="30.0" customHeight="1">
      <c r="A767" s="8"/>
      <c r="E767" s="10"/>
    </row>
    <row r="768" ht="30.0" customHeight="1">
      <c r="A768" s="8"/>
      <c r="E768" s="10"/>
    </row>
    <row r="769" ht="30.0" customHeight="1">
      <c r="A769" s="8"/>
      <c r="E769" s="10"/>
    </row>
    <row r="770" ht="30.0" customHeight="1">
      <c r="A770" s="8"/>
      <c r="E770" s="10"/>
    </row>
    <row r="771" ht="30.0" customHeight="1">
      <c r="A771" s="8"/>
      <c r="E771" s="10"/>
    </row>
    <row r="772" ht="30.0" customHeight="1">
      <c r="A772" s="8"/>
      <c r="E772" s="10"/>
    </row>
    <row r="773" ht="30.0" customHeight="1">
      <c r="A773" s="8"/>
      <c r="E773" s="10"/>
    </row>
    <row r="774" ht="30.0" customHeight="1">
      <c r="A774" s="8"/>
      <c r="E774" s="10"/>
    </row>
    <row r="775" ht="30.0" customHeight="1">
      <c r="A775" s="8"/>
      <c r="E775" s="10"/>
    </row>
    <row r="776" ht="30.0" customHeight="1">
      <c r="A776" s="8"/>
      <c r="E776" s="10"/>
    </row>
    <row r="777" ht="30.0" customHeight="1">
      <c r="A777" s="8"/>
      <c r="E777" s="10"/>
    </row>
    <row r="778" ht="30.0" customHeight="1">
      <c r="A778" s="8"/>
      <c r="E778" s="10"/>
    </row>
    <row r="779" ht="30.0" customHeight="1">
      <c r="A779" s="8"/>
      <c r="E779" s="10"/>
    </row>
    <row r="780" ht="30.0" customHeight="1">
      <c r="A780" s="8"/>
      <c r="E780" s="10"/>
    </row>
    <row r="781" ht="30.0" customHeight="1">
      <c r="A781" s="8"/>
      <c r="E781" s="10"/>
    </row>
    <row r="782" ht="30.0" customHeight="1">
      <c r="A782" s="8"/>
      <c r="E782" s="10"/>
    </row>
    <row r="783" ht="30.0" customHeight="1">
      <c r="A783" s="8"/>
      <c r="E783" s="10"/>
    </row>
    <row r="784" ht="30.0" customHeight="1">
      <c r="A784" s="8"/>
      <c r="E784" s="10"/>
    </row>
    <row r="785" ht="30.0" customHeight="1">
      <c r="A785" s="8"/>
      <c r="E785" s="10"/>
    </row>
    <row r="786" ht="30.0" customHeight="1">
      <c r="A786" s="8"/>
      <c r="E786" s="10"/>
    </row>
    <row r="787" ht="30.0" customHeight="1">
      <c r="A787" s="8"/>
      <c r="E787" s="10"/>
    </row>
    <row r="788" ht="30.0" customHeight="1">
      <c r="A788" s="8"/>
      <c r="E788" s="10"/>
    </row>
    <row r="789" ht="30.0" customHeight="1">
      <c r="A789" s="8"/>
      <c r="E789" s="10"/>
    </row>
    <row r="790" ht="30.0" customHeight="1">
      <c r="A790" s="8"/>
      <c r="E790" s="10"/>
    </row>
    <row r="791" ht="30.0" customHeight="1">
      <c r="A791" s="8"/>
      <c r="E791" s="10"/>
    </row>
    <row r="792" ht="30.0" customHeight="1">
      <c r="A792" s="8"/>
      <c r="E792" s="10"/>
    </row>
    <row r="793" ht="30.0" customHeight="1">
      <c r="A793" s="8"/>
      <c r="E793" s="10"/>
    </row>
    <row r="794" ht="30.0" customHeight="1">
      <c r="A794" s="8"/>
      <c r="E794" s="10"/>
    </row>
    <row r="795" ht="30.0" customHeight="1">
      <c r="A795" s="8"/>
      <c r="E795" s="10"/>
    </row>
    <row r="796" ht="30.0" customHeight="1">
      <c r="A796" s="8"/>
      <c r="E796" s="10"/>
    </row>
    <row r="797" ht="30.0" customHeight="1">
      <c r="A797" s="8"/>
      <c r="E797" s="10"/>
    </row>
    <row r="798" ht="30.0" customHeight="1">
      <c r="A798" s="8"/>
      <c r="E798" s="10"/>
    </row>
    <row r="799" ht="30.0" customHeight="1">
      <c r="A799" s="8"/>
      <c r="E799" s="10"/>
    </row>
    <row r="800" ht="30.0" customHeight="1">
      <c r="A800" s="8"/>
      <c r="E800" s="10"/>
    </row>
    <row r="801" ht="30.0" customHeight="1">
      <c r="A801" s="8"/>
      <c r="E801" s="10"/>
    </row>
    <row r="802" ht="30.0" customHeight="1">
      <c r="A802" s="8"/>
      <c r="E802" s="10"/>
    </row>
    <row r="803" ht="30.0" customHeight="1">
      <c r="A803" s="8"/>
      <c r="E803" s="10"/>
    </row>
    <row r="804" ht="30.0" customHeight="1">
      <c r="A804" s="8"/>
      <c r="E804" s="10"/>
    </row>
    <row r="805" ht="30.0" customHeight="1">
      <c r="A805" s="8"/>
      <c r="E805" s="10"/>
    </row>
    <row r="806" ht="30.0" customHeight="1">
      <c r="A806" s="8"/>
      <c r="E806" s="10"/>
    </row>
    <row r="807" ht="30.0" customHeight="1">
      <c r="A807" s="8"/>
      <c r="E807" s="10"/>
    </row>
    <row r="808" ht="30.0" customHeight="1">
      <c r="A808" s="8"/>
      <c r="E808" s="10"/>
    </row>
    <row r="809" ht="30.0" customHeight="1">
      <c r="A809" s="8"/>
      <c r="E809" s="10"/>
    </row>
    <row r="810" ht="30.0" customHeight="1">
      <c r="A810" s="8"/>
      <c r="E810" s="10"/>
    </row>
    <row r="811" ht="30.0" customHeight="1">
      <c r="A811" s="8"/>
      <c r="E811" s="10"/>
    </row>
    <row r="812" ht="30.0" customHeight="1">
      <c r="A812" s="8"/>
      <c r="E812" s="10"/>
    </row>
    <row r="813" ht="30.0" customHeight="1">
      <c r="A813" s="8"/>
      <c r="E813" s="10"/>
    </row>
    <row r="814" ht="30.0" customHeight="1">
      <c r="A814" s="8"/>
      <c r="E814" s="10"/>
    </row>
    <row r="815" ht="30.0" customHeight="1">
      <c r="A815" s="8"/>
      <c r="E815" s="10"/>
    </row>
    <row r="816" ht="30.0" customHeight="1">
      <c r="A816" s="8"/>
      <c r="E816" s="10"/>
    </row>
    <row r="817" ht="30.0" customHeight="1">
      <c r="A817" s="8"/>
      <c r="E817" s="10"/>
    </row>
    <row r="818" ht="30.0" customHeight="1">
      <c r="A818" s="8"/>
      <c r="E818" s="10"/>
    </row>
    <row r="819" ht="30.0" customHeight="1">
      <c r="A819" s="8"/>
      <c r="E819" s="10"/>
    </row>
    <row r="820" ht="30.0" customHeight="1">
      <c r="A820" s="8"/>
      <c r="E820" s="10"/>
    </row>
    <row r="821" ht="30.0" customHeight="1">
      <c r="A821" s="8"/>
      <c r="E821" s="10"/>
    </row>
    <row r="822" ht="30.0" customHeight="1">
      <c r="A822" s="8"/>
      <c r="E822" s="10"/>
    </row>
    <row r="823" ht="30.0" customHeight="1">
      <c r="A823" s="8"/>
      <c r="E823" s="10"/>
    </row>
    <row r="824" ht="30.0" customHeight="1">
      <c r="A824" s="8"/>
      <c r="E824" s="10"/>
    </row>
    <row r="825" ht="30.0" customHeight="1">
      <c r="A825" s="8"/>
      <c r="E825" s="10"/>
    </row>
    <row r="826" ht="30.0" customHeight="1">
      <c r="A826" s="8"/>
      <c r="E826" s="10"/>
    </row>
    <row r="827" ht="30.0" customHeight="1">
      <c r="A827" s="8"/>
      <c r="E827" s="10"/>
    </row>
    <row r="828" ht="30.0" customHeight="1">
      <c r="A828" s="8"/>
      <c r="E828" s="10"/>
    </row>
    <row r="829" ht="30.0" customHeight="1">
      <c r="A829" s="8"/>
      <c r="E829" s="10"/>
    </row>
    <row r="830" ht="30.0" customHeight="1">
      <c r="A830" s="8"/>
      <c r="E830" s="10"/>
    </row>
    <row r="831" ht="30.0" customHeight="1">
      <c r="A831" s="8"/>
      <c r="E831" s="10"/>
    </row>
    <row r="832" ht="30.0" customHeight="1">
      <c r="A832" s="8"/>
      <c r="E832" s="10"/>
    </row>
    <row r="833" ht="30.0" customHeight="1">
      <c r="A833" s="8"/>
      <c r="E833" s="10"/>
    </row>
    <row r="834" ht="30.0" customHeight="1">
      <c r="A834" s="8"/>
      <c r="E834" s="10"/>
    </row>
    <row r="835" ht="30.0" customHeight="1">
      <c r="A835" s="8"/>
      <c r="E835" s="10"/>
    </row>
    <row r="836" ht="30.0" customHeight="1">
      <c r="A836" s="8"/>
      <c r="E836" s="10"/>
    </row>
    <row r="837" ht="30.0" customHeight="1">
      <c r="A837" s="8"/>
      <c r="E837" s="10"/>
    </row>
    <row r="838" ht="30.0" customHeight="1">
      <c r="A838" s="8"/>
      <c r="E838" s="10"/>
    </row>
    <row r="839" ht="30.0" customHeight="1">
      <c r="A839" s="8"/>
      <c r="E839" s="10"/>
    </row>
    <row r="840" ht="30.0" customHeight="1">
      <c r="A840" s="8"/>
      <c r="E840" s="10"/>
    </row>
    <row r="841" ht="30.0" customHeight="1">
      <c r="A841" s="8"/>
      <c r="E841" s="10"/>
    </row>
    <row r="842" ht="30.0" customHeight="1">
      <c r="A842" s="8"/>
      <c r="E842" s="10"/>
    </row>
    <row r="843" ht="30.0" customHeight="1">
      <c r="A843" s="8"/>
      <c r="E843" s="10"/>
    </row>
    <row r="844" ht="30.0" customHeight="1">
      <c r="A844" s="8"/>
      <c r="E844" s="10"/>
    </row>
    <row r="845" ht="30.0" customHeight="1">
      <c r="A845" s="8"/>
      <c r="E845" s="10"/>
    </row>
    <row r="846" ht="30.0" customHeight="1">
      <c r="A846" s="8"/>
      <c r="E846" s="10"/>
    </row>
    <row r="847" ht="30.0" customHeight="1">
      <c r="A847" s="8"/>
      <c r="E847" s="10"/>
    </row>
    <row r="848" ht="30.0" customHeight="1">
      <c r="A848" s="8"/>
      <c r="E848" s="10"/>
    </row>
    <row r="849" ht="30.0" customHeight="1">
      <c r="A849" s="8"/>
      <c r="E849" s="10"/>
    </row>
    <row r="850" ht="30.0" customHeight="1">
      <c r="A850" s="8"/>
      <c r="E850" s="10"/>
    </row>
    <row r="851" ht="30.0" customHeight="1">
      <c r="A851" s="8"/>
      <c r="E851" s="10"/>
    </row>
    <row r="852" ht="30.0" customHeight="1">
      <c r="A852" s="8"/>
      <c r="E852" s="10"/>
    </row>
    <row r="853" ht="30.0" customHeight="1">
      <c r="A853" s="8"/>
      <c r="E853" s="10"/>
    </row>
    <row r="854" ht="30.0" customHeight="1">
      <c r="A854" s="8"/>
      <c r="E854" s="10"/>
    </row>
    <row r="855" ht="30.0" customHeight="1">
      <c r="A855" s="8"/>
      <c r="E855" s="10"/>
    </row>
    <row r="856" ht="30.0" customHeight="1">
      <c r="A856" s="8"/>
      <c r="E856" s="10"/>
    </row>
    <row r="857" ht="30.0" customHeight="1">
      <c r="A857" s="8"/>
      <c r="E857" s="10"/>
    </row>
    <row r="858" ht="30.0" customHeight="1">
      <c r="A858" s="8"/>
      <c r="E858" s="10"/>
    </row>
    <row r="859" ht="30.0" customHeight="1">
      <c r="A859" s="8"/>
      <c r="E859" s="10"/>
    </row>
    <row r="860" ht="30.0" customHeight="1">
      <c r="A860" s="8"/>
      <c r="E860" s="10"/>
    </row>
    <row r="861" ht="30.0" customHeight="1">
      <c r="A861" s="8"/>
      <c r="E861" s="10"/>
    </row>
    <row r="862" ht="30.0" customHeight="1">
      <c r="A862" s="8"/>
      <c r="E862" s="10"/>
    </row>
    <row r="863" ht="30.0" customHeight="1">
      <c r="A863" s="8"/>
      <c r="E863" s="10"/>
    </row>
    <row r="864" ht="30.0" customHeight="1">
      <c r="A864" s="8"/>
      <c r="E864" s="10"/>
    </row>
    <row r="865" ht="30.0" customHeight="1">
      <c r="A865" s="8"/>
      <c r="E865" s="10"/>
    </row>
    <row r="866" ht="30.0" customHeight="1">
      <c r="A866" s="8"/>
      <c r="E866" s="10"/>
    </row>
    <row r="867" ht="30.0" customHeight="1">
      <c r="A867" s="8"/>
      <c r="E867" s="10"/>
    </row>
    <row r="868" ht="30.0" customHeight="1">
      <c r="A868" s="8"/>
      <c r="E868" s="10"/>
    </row>
    <row r="869" ht="30.0" customHeight="1">
      <c r="A869" s="8"/>
      <c r="E869" s="10"/>
    </row>
    <row r="870" ht="30.0" customHeight="1">
      <c r="A870" s="8"/>
      <c r="E870" s="10"/>
    </row>
    <row r="871" ht="30.0" customHeight="1">
      <c r="A871" s="8"/>
      <c r="E871" s="10"/>
    </row>
    <row r="872" ht="30.0" customHeight="1">
      <c r="A872" s="8"/>
      <c r="E872" s="10"/>
    </row>
    <row r="873" ht="30.0" customHeight="1">
      <c r="A873" s="8"/>
      <c r="E873" s="10"/>
    </row>
    <row r="874" ht="30.0" customHeight="1">
      <c r="A874" s="8"/>
      <c r="E874" s="10"/>
    </row>
    <row r="875" ht="30.0" customHeight="1">
      <c r="A875" s="8"/>
      <c r="E875" s="10"/>
    </row>
    <row r="876" ht="30.0" customHeight="1">
      <c r="A876" s="8"/>
      <c r="E876" s="10"/>
    </row>
    <row r="877" ht="30.0" customHeight="1">
      <c r="A877" s="8"/>
      <c r="E877" s="10"/>
    </row>
    <row r="878" ht="30.0" customHeight="1">
      <c r="A878" s="8"/>
      <c r="E878" s="10"/>
    </row>
    <row r="879" ht="30.0" customHeight="1">
      <c r="A879" s="8"/>
      <c r="E879" s="10"/>
    </row>
    <row r="880" ht="30.0" customHeight="1">
      <c r="A880" s="8"/>
      <c r="E880" s="10"/>
    </row>
    <row r="881" ht="30.0" customHeight="1">
      <c r="A881" s="8"/>
      <c r="E881" s="10"/>
    </row>
    <row r="882" ht="30.0" customHeight="1">
      <c r="A882" s="8"/>
      <c r="E882" s="10"/>
    </row>
    <row r="883" ht="30.0" customHeight="1">
      <c r="A883" s="8"/>
      <c r="E883" s="10"/>
    </row>
    <row r="884" ht="30.0" customHeight="1">
      <c r="A884" s="8"/>
      <c r="E884" s="10"/>
    </row>
    <row r="885" ht="30.0" customHeight="1">
      <c r="A885" s="8"/>
      <c r="E885" s="10"/>
    </row>
    <row r="886" ht="30.0" customHeight="1">
      <c r="A886" s="8"/>
      <c r="E886" s="10"/>
    </row>
    <row r="887" ht="30.0" customHeight="1">
      <c r="A887" s="8"/>
      <c r="E887" s="10"/>
    </row>
    <row r="888" ht="30.0" customHeight="1">
      <c r="A888" s="8"/>
      <c r="E888" s="10"/>
    </row>
    <row r="889" ht="30.0" customHeight="1">
      <c r="A889" s="8"/>
      <c r="E889" s="10"/>
    </row>
    <row r="890" ht="30.0" customHeight="1">
      <c r="A890" s="8"/>
      <c r="E890" s="10"/>
    </row>
    <row r="891" ht="30.0" customHeight="1">
      <c r="A891" s="8"/>
      <c r="E891" s="10"/>
    </row>
    <row r="892" ht="30.0" customHeight="1">
      <c r="A892" s="8"/>
      <c r="E892" s="10"/>
    </row>
    <row r="893" ht="30.0" customHeight="1">
      <c r="A893" s="8"/>
      <c r="E893" s="10"/>
    </row>
    <row r="894" ht="30.0" customHeight="1">
      <c r="A894" s="8"/>
      <c r="E894" s="10"/>
    </row>
    <row r="895" ht="30.0" customHeight="1">
      <c r="A895" s="8"/>
      <c r="E895" s="10"/>
    </row>
    <row r="896" ht="30.0" customHeight="1">
      <c r="A896" s="8"/>
      <c r="E896" s="10"/>
    </row>
    <row r="897" ht="30.0" customHeight="1">
      <c r="A897" s="8"/>
      <c r="E897" s="10"/>
    </row>
    <row r="898" ht="30.0" customHeight="1">
      <c r="A898" s="8"/>
      <c r="E898" s="10"/>
    </row>
    <row r="899" ht="30.0" customHeight="1">
      <c r="A899" s="8"/>
      <c r="E899" s="10"/>
    </row>
    <row r="900" ht="30.0" customHeight="1">
      <c r="A900" s="8"/>
      <c r="E900" s="10"/>
    </row>
    <row r="901" ht="30.0" customHeight="1">
      <c r="A901" s="8"/>
      <c r="E901" s="10"/>
    </row>
    <row r="902" ht="30.0" customHeight="1">
      <c r="A902" s="8"/>
      <c r="E902" s="10"/>
    </row>
    <row r="903" ht="30.0" customHeight="1">
      <c r="A903" s="8"/>
      <c r="E903" s="10"/>
    </row>
    <row r="904" ht="30.0" customHeight="1">
      <c r="A904" s="8"/>
      <c r="E904" s="10"/>
    </row>
    <row r="905" ht="30.0" customHeight="1">
      <c r="A905" s="8"/>
      <c r="E905" s="10"/>
    </row>
    <row r="906" ht="30.0" customHeight="1">
      <c r="A906" s="8"/>
      <c r="E906" s="10"/>
    </row>
    <row r="907" ht="30.0" customHeight="1">
      <c r="A907" s="8"/>
      <c r="E907" s="10"/>
    </row>
    <row r="908" ht="30.0" customHeight="1">
      <c r="A908" s="8"/>
      <c r="E908" s="10"/>
    </row>
    <row r="909" ht="30.0" customHeight="1">
      <c r="A909" s="8"/>
      <c r="E909" s="10"/>
    </row>
    <row r="910" ht="30.0" customHeight="1">
      <c r="A910" s="8"/>
      <c r="E910" s="10"/>
    </row>
    <row r="911" ht="30.0" customHeight="1">
      <c r="A911" s="8"/>
      <c r="E911" s="10"/>
    </row>
    <row r="912" ht="30.0" customHeight="1">
      <c r="A912" s="8"/>
      <c r="E912" s="10"/>
    </row>
    <row r="913" ht="30.0" customHeight="1">
      <c r="A913" s="8"/>
      <c r="E913" s="10"/>
    </row>
    <row r="914" ht="30.0" customHeight="1">
      <c r="A914" s="8"/>
      <c r="E914" s="10"/>
    </row>
    <row r="915" ht="30.0" customHeight="1">
      <c r="A915" s="8"/>
      <c r="E915" s="10"/>
    </row>
    <row r="916" ht="30.0" customHeight="1">
      <c r="A916" s="8"/>
      <c r="E916" s="10"/>
    </row>
    <row r="917" ht="30.0" customHeight="1">
      <c r="A917" s="8"/>
      <c r="E917" s="10"/>
    </row>
    <row r="918" ht="30.0" customHeight="1">
      <c r="A918" s="8"/>
      <c r="E918" s="10"/>
    </row>
    <row r="919" ht="30.0" customHeight="1">
      <c r="A919" s="8"/>
      <c r="E919" s="10"/>
    </row>
    <row r="920" ht="30.0" customHeight="1">
      <c r="A920" s="8"/>
      <c r="E920" s="10"/>
    </row>
    <row r="921" ht="30.0" customHeight="1">
      <c r="A921" s="8"/>
      <c r="E921" s="10"/>
    </row>
    <row r="922" ht="30.0" customHeight="1">
      <c r="A922" s="8"/>
      <c r="E922" s="10"/>
    </row>
    <row r="923" ht="30.0" customHeight="1">
      <c r="A923" s="8"/>
      <c r="E923" s="10"/>
    </row>
    <row r="924" ht="30.0" customHeight="1">
      <c r="A924" s="8"/>
      <c r="E924" s="10"/>
    </row>
    <row r="925" ht="30.0" customHeight="1">
      <c r="A925" s="8"/>
      <c r="E925" s="10"/>
    </row>
    <row r="926" ht="30.0" customHeight="1">
      <c r="A926" s="8"/>
      <c r="E926" s="10"/>
    </row>
    <row r="927" ht="30.0" customHeight="1">
      <c r="A927" s="8"/>
      <c r="E927" s="10"/>
    </row>
    <row r="928" ht="30.0" customHeight="1">
      <c r="A928" s="8"/>
      <c r="E928" s="10"/>
    </row>
    <row r="929" ht="30.0" customHeight="1">
      <c r="A929" s="8"/>
      <c r="E929" s="10"/>
    </row>
    <row r="930" ht="30.0" customHeight="1">
      <c r="A930" s="8"/>
      <c r="E930" s="10"/>
    </row>
    <row r="931" ht="30.0" customHeight="1">
      <c r="A931" s="8"/>
      <c r="E931" s="10"/>
    </row>
    <row r="932" ht="30.0" customHeight="1">
      <c r="A932" s="8"/>
      <c r="E932" s="10"/>
    </row>
    <row r="933" ht="30.0" customHeight="1">
      <c r="A933" s="8"/>
      <c r="E933" s="10"/>
    </row>
    <row r="934" ht="30.0" customHeight="1">
      <c r="A934" s="8"/>
      <c r="E934" s="10"/>
    </row>
    <row r="935" ht="30.0" customHeight="1">
      <c r="A935" s="8"/>
      <c r="E935" s="10"/>
    </row>
    <row r="936" ht="30.0" customHeight="1">
      <c r="A936" s="8"/>
      <c r="E936" s="10"/>
    </row>
    <row r="937" ht="30.0" customHeight="1">
      <c r="A937" s="8"/>
      <c r="E937" s="10"/>
    </row>
    <row r="938" ht="30.0" customHeight="1">
      <c r="A938" s="8"/>
      <c r="E938" s="10"/>
    </row>
    <row r="939" ht="30.0" customHeight="1">
      <c r="A939" s="8"/>
      <c r="E939" s="10"/>
    </row>
    <row r="940" ht="30.0" customHeight="1">
      <c r="A940" s="8"/>
      <c r="E940" s="10"/>
    </row>
    <row r="941" ht="30.0" customHeight="1">
      <c r="A941" s="8"/>
      <c r="E941" s="10"/>
    </row>
    <row r="942" ht="30.0" customHeight="1">
      <c r="A942" s="8"/>
      <c r="E942" s="10"/>
    </row>
    <row r="943" ht="30.0" customHeight="1">
      <c r="A943" s="8"/>
      <c r="E943" s="10"/>
    </row>
    <row r="944" ht="30.0" customHeight="1">
      <c r="A944" s="8"/>
      <c r="E944" s="10"/>
    </row>
    <row r="945" ht="30.0" customHeight="1">
      <c r="A945" s="8"/>
      <c r="E945" s="10"/>
    </row>
    <row r="946" ht="30.0" customHeight="1">
      <c r="A946" s="8"/>
      <c r="E946" s="10"/>
    </row>
    <row r="947" ht="30.0" customHeight="1">
      <c r="A947" s="8"/>
      <c r="E947" s="10"/>
    </row>
    <row r="948" ht="30.0" customHeight="1">
      <c r="A948" s="8"/>
      <c r="E948" s="10"/>
    </row>
    <row r="949" ht="30.0" customHeight="1">
      <c r="A949" s="8"/>
      <c r="E949" s="10"/>
    </row>
    <row r="950" ht="30.0" customHeight="1">
      <c r="A950" s="8"/>
      <c r="E950" s="10"/>
    </row>
    <row r="951" ht="30.0" customHeight="1">
      <c r="A951" s="8"/>
      <c r="E951" s="10"/>
    </row>
    <row r="952" ht="30.0" customHeight="1">
      <c r="A952" s="8"/>
      <c r="E952" s="10"/>
    </row>
    <row r="953" ht="30.0" customHeight="1">
      <c r="A953" s="8"/>
      <c r="E953" s="10"/>
    </row>
    <row r="954" ht="30.0" customHeight="1">
      <c r="A954" s="8"/>
      <c r="E954" s="10"/>
    </row>
    <row r="955" ht="30.0" customHeight="1">
      <c r="A955" s="8"/>
      <c r="E955" s="10"/>
    </row>
    <row r="956" ht="30.0" customHeight="1">
      <c r="A956" s="8"/>
      <c r="E956" s="10"/>
    </row>
    <row r="957" ht="30.0" customHeight="1">
      <c r="A957" s="8"/>
      <c r="E957" s="10"/>
    </row>
    <row r="958" ht="30.0" customHeight="1">
      <c r="A958" s="8"/>
      <c r="E958" s="10"/>
    </row>
    <row r="959" ht="30.0" customHeight="1">
      <c r="A959" s="8"/>
      <c r="E959" s="10"/>
    </row>
    <row r="960" ht="30.0" customHeight="1">
      <c r="A960" s="8"/>
      <c r="E960" s="10"/>
    </row>
    <row r="961" ht="30.0" customHeight="1">
      <c r="A961" s="8"/>
      <c r="E961" s="10"/>
    </row>
    <row r="962" ht="30.0" customHeight="1">
      <c r="A962" s="8"/>
      <c r="E962" s="10"/>
    </row>
    <row r="963" ht="30.0" customHeight="1">
      <c r="A963" s="8"/>
      <c r="E963" s="10"/>
    </row>
    <row r="964" ht="30.0" customHeight="1">
      <c r="A964" s="8"/>
      <c r="E964" s="10"/>
    </row>
    <row r="965" ht="30.0" customHeight="1">
      <c r="A965" s="8"/>
      <c r="E965" s="10"/>
    </row>
    <row r="966" ht="30.0" customHeight="1">
      <c r="A966" s="8"/>
      <c r="E966" s="10"/>
    </row>
    <row r="967" ht="30.0" customHeight="1">
      <c r="A967" s="8"/>
      <c r="E967" s="10"/>
    </row>
    <row r="968" ht="30.0" customHeight="1">
      <c r="A968" s="8"/>
      <c r="E968" s="10"/>
    </row>
    <row r="969" ht="30.0" customHeight="1">
      <c r="A969" s="8"/>
      <c r="E969" s="10"/>
    </row>
    <row r="970" ht="30.0" customHeight="1">
      <c r="A970" s="8"/>
      <c r="E970" s="10"/>
    </row>
    <row r="971" ht="30.0" customHeight="1">
      <c r="A971" s="8"/>
      <c r="E971" s="10"/>
    </row>
    <row r="972" ht="30.0" customHeight="1">
      <c r="A972" s="8"/>
      <c r="E972" s="10"/>
    </row>
    <row r="973" ht="30.0" customHeight="1">
      <c r="A973" s="8"/>
      <c r="E973" s="10"/>
    </row>
    <row r="974" ht="30.0" customHeight="1">
      <c r="A974" s="8"/>
      <c r="E974" s="10"/>
    </row>
    <row r="975" ht="30.0" customHeight="1">
      <c r="A975" s="8"/>
      <c r="E975" s="10"/>
    </row>
    <row r="976" ht="30.0" customHeight="1">
      <c r="A976" s="8"/>
      <c r="E976" s="10"/>
    </row>
    <row r="977" ht="30.0" customHeight="1">
      <c r="A977" s="8"/>
      <c r="E977" s="10"/>
    </row>
    <row r="978" ht="30.0" customHeight="1">
      <c r="A978" s="8"/>
      <c r="E978" s="10"/>
    </row>
    <row r="979" ht="30.0" customHeight="1">
      <c r="A979" s="8"/>
      <c r="E979" s="10"/>
    </row>
    <row r="980" ht="30.0" customHeight="1">
      <c r="A980" s="8"/>
      <c r="E980" s="10"/>
    </row>
    <row r="981" ht="30.0" customHeight="1">
      <c r="A981" s="8"/>
      <c r="E981" s="10"/>
    </row>
    <row r="982" ht="30.0" customHeight="1">
      <c r="A982" s="8"/>
      <c r="E982" s="10"/>
    </row>
    <row r="983" ht="30.0" customHeight="1">
      <c r="A983" s="8"/>
      <c r="E983" s="10"/>
    </row>
    <row r="984" ht="30.0" customHeight="1">
      <c r="A984" s="8"/>
      <c r="E984" s="10"/>
    </row>
    <row r="985" ht="30.0" customHeight="1">
      <c r="A985" s="8"/>
      <c r="E985" s="10"/>
    </row>
    <row r="986" ht="30.0" customHeight="1">
      <c r="A986" s="8"/>
      <c r="E986" s="10"/>
    </row>
    <row r="987" ht="30.0" customHeight="1">
      <c r="A987" s="8"/>
      <c r="E987" s="10"/>
    </row>
    <row r="988" ht="30.0" customHeight="1">
      <c r="A988" s="8"/>
      <c r="E988" s="10"/>
    </row>
    <row r="989" ht="30.0" customHeight="1">
      <c r="A989" s="8"/>
      <c r="E989" s="10"/>
    </row>
    <row r="990" ht="30.0" customHeight="1">
      <c r="A990" s="8"/>
      <c r="E990" s="10"/>
    </row>
    <row r="991" ht="30.0" customHeight="1">
      <c r="A991" s="8"/>
      <c r="E991" s="10"/>
    </row>
    <row r="992" ht="30.0" customHeight="1">
      <c r="A992" s="8"/>
      <c r="E992" s="10"/>
    </row>
  </sheetData>
  <mergeCells count="15">
    <mergeCell ref="AK4:AQ4"/>
    <mergeCell ref="AR4:AX4"/>
    <mergeCell ref="AY4:BE4"/>
    <mergeCell ref="BF4:BL4"/>
    <mergeCell ref="BM4:BS4"/>
    <mergeCell ref="BT4:BZ4"/>
    <mergeCell ref="CA4:CG4"/>
    <mergeCell ref="CH4:CN4"/>
    <mergeCell ref="C3:D3"/>
    <mergeCell ref="E3:F3"/>
    <mergeCell ref="C4:D4"/>
    <mergeCell ref="I4:O4"/>
    <mergeCell ref="P4:V4"/>
    <mergeCell ref="W4:AC4"/>
    <mergeCell ref="AD4:AJ4"/>
  </mergeCells>
  <conditionalFormatting sqref="I5:CQ25">
    <cfRule type="expression" dxfId="0" priority="1">
      <formula>AND(TODAY()&gt;=I$5,TODAY()&lt;J$5)</formula>
    </cfRule>
  </conditionalFormatting>
  <dataValidations>
    <dataValidation type="decimal" operator="greaterThanOrEqual" allowBlank="1" showInputMessage="1" prompt="Mostrar semana - Al cambiar este número, se desplazará la vista del diagrama de Gantt." sqref="E4">
      <formula1>1.0</formula1>
    </dataValidation>
  </dataValidations>
  <printOptions horizontalCentered="1"/>
  <pageMargins bottom="0.5" footer="0.0" header="0.0" left="0.35" right="0.35" top="0.35"/>
  <pageSetup fitToHeight="0" paperSize="9" orientation="landscape"/>
  <headerFooter>
    <oddFooter/>
  </headerFooter>
  <drawing r:id="rId1"/>
</worksheet>
</file>